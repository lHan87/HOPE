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Labor\LQA\LOGIPEM\"/>
    </mc:Choice>
  </mc:AlternateContent>
  <xr:revisionPtr revIDLastSave="0" documentId="13_ncr:1_{528C6DDF-F5F4-4E22-8943-E3E86253CE0A}" xr6:coauthVersionLast="47" xr6:coauthVersionMax="47" xr10:uidLastSave="{00000000-0000-0000-0000-000000000000}"/>
  <bookViews>
    <workbookView xWindow="-120" yWindow="-120" windowWidth="29040" windowHeight="15840" xr2:uid="{00000000-000D-0000-FFFF-FFFF00000000}"/>
  </bookViews>
  <sheets>
    <sheet name="scoring"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2" i="1"/>
  <c r="K108" i="1"/>
  <c r="K109" i="1"/>
  <c r="K110" i="1"/>
  <c r="K111" i="1"/>
  <c r="K112" i="1"/>
  <c r="G113" i="1"/>
  <c r="M115" i="1"/>
  <c r="M116" i="1" s="1"/>
  <c r="U3" i="1"/>
  <c r="U4" i="1"/>
  <c r="U5" i="1"/>
  <c r="U6" i="1"/>
  <c r="M117" i="1" s="1"/>
  <c r="M118" i="1" s="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K3" i="1"/>
  <c r="C115" i="1" s="1"/>
  <c r="C116" i="1" s="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2" i="1"/>
  <c r="U2" i="1"/>
  <c r="T113" i="1"/>
  <c r="S113" i="1"/>
  <c r="R113" i="1"/>
  <c r="Q113" i="1"/>
  <c r="P113" i="1"/>
  <c r="O113" i="1"/>
  <c r="N113" i="1"/>
  <c r="J113" i="1"/>
  <c r="I113" i="1"/>
  <c r="H113" i="1"/>
  <c r="F113" i="1"/>
  <c r="E113" i="1"/>
  <c r="D113" i="1"/>
  <c r="M113" i="1"/>
  <c r="M114" i="1" s="1"/>
  <c r="C113" i="1"/>
  <c r="C114" i="1" s="1"/>
  <c r="X16" i="1" a="1"/>
  <c r="X35" i="1" a="1"/>
  <c r="X30" i="1" a="1"/>
  <c r="X53" i="1" a="1"/>
  <c r="X45" i="1" a="1"/>
  <c r="X22" i="1" a="1"/>
  <c r="X68" i="1" a="1"/>
  <c r="X86" i="1" a="1"/>
  <c r="X34" i="1" a="1"/>
  <c r="X97" i="1" a="1"/>
  <c r="X38" i="1" a="1"/>
  <c r="X71" i="1" a="1"/>
  <c r="X55" i="1" a="1"/>
  <c r="X103" i="1" a="1"/>
  <c r="X69" i="1" a="1"/>
  <c r="X102" i="1" a="1"/>
  <c r="X46" i="1" a="1"/>
  <c r="X2" i="1" a="1"/>
  <c r="X54" i="1" a="1"/>
  <c r="X109" i="1" a="1"/>
  <c r="X51" i="1" a="1"/>
  <c r="X73" i="1" a="1"/>
  <c r="X60" i="1" a="1"/>
  <c r="X67" i="1" a="1"/>
  <c r="X10" i="1" a="1"/>
  <c r="X4" i="1" a="1"/>
  <c r="X15" i="1" a="1"/>
  <c r="X93" i="1" a="1"/>
  <c r="X33" i="1" a="1"/>
  <c r="X39" i="1" a="1"/>
  <c r="X23" i="1" a="1"/>
  <c r="X20" i="1" a="1"/>
  <c r="X27" i="1" a="1"/>
  <c r="X6" i="1" a="1"/>
  <c r="X49" i="1" a="1"/>
  <c r="X74" i="1" a="1"/>
  <c r="X25" i="1" a="1"/>
  <c r="X26" i="1" a="1"/>
  <c r="X95" i="1" a="1"/>
  <c r="X56" i="1" a="1"/>
  <c r="X64" i="1" a="1"/>
  <c r="X8" i="1" a="1"/>
  <c r="X83" i="1" a="1"/>
  <c r="X41" i="1" a="1"/>
  <c r="X89" i="1" a="1"/>
  <c r="X5" i="1" a="1"/>
  <c r="X61" i="1" a="1"/>
  <c r="X112" i="1" a="1"/>
  <c r="X19" i="1" a="1"/>
  <c r="X72" i="1" a="1"/>
  <c r="X84" i="1" a="1"/>
  <c r="X94" i="1" a="1"/>
  <c r="X76" i="1" a="1"/>
  <c r="X32" i="1" a="1"/>
  <c r="X110" i="1" a="1"/>
  <c r="X59" i="1" a="1"/>
  <c r="X9" i="1" a="1"/>
  <c r="X96" i="1" a="1"/>
  <c r="X91" i="1" a="1"/>
  <c r="X7" i="1" a="1"/>
  <c r="X36" i="1" a="1"/>
  <c r="X104" i="1" a="1"/>
  <c r="X57" i="1" a="1"/>
  <c r="X92" i="1" a="1"/>
  <c r="X63" i="1" a="1"/>
  <c r="X11" i="1" a="1"/>
  <c r="X18" i="1" a="1"/>
  <c r="X43" i="1" a="1"/>
  <c r="X50" i="1" a="1"/>
  <c r="X58" i="1" a="1"/>
  <c r="X48" i="1" a="1"/>
  <c r="X28" i="1" a="1"/>
  <c r="X42" i="1" a="1"/>
  <c r="X52" i="1" a="1"/>
  <c r="X31" i="1" a="1"/>
  <c r="X3" i="1" a="1"/>
  <c r="X80" i="1" a="1"/>
  <c r="X78" i="1" a="1"/>
  <c r="X14" i="1" a="1"/>
  <c r="X24" i="1" a="1"/>
  <c r="X65" i="1" a="1"/>
  <c r="X12" i="1" a="1"/>
  <c r="X90" i="1" a="1"/>
  <c r="X37" i="1" a="1"/>
  <c r="X13" i="1" a="1"/>
  <c r="X17" i="1" a="1"/>
  <c r="X81" i="1" a="1"/>
  <c r="X105" i="1" a="1"/>
  <c r="X70" i="1" a="1"/>
  <c r="X82" i="1" a="1"/>
  <c r="X62" i="1" a="1"/>
  <c r="X47" i="1" a="1"/>
  <c r="X21" i="1" a="1"/>
  <c r="X44" i="1" a="1"/>
  <c r="X75" i="1" a="1"/>
  <c r="X77" i="1" a="1"/>
  <c r="X111" i="1" a="1"/>
  <c r="X85" i="1" a="1"/>
  <c r="X87" i="1" a="1"/>
  <c r="X107" i="1" a="1"/>
  <c r="X108" i="1" a="1"/>
  <c r="X29" i="1" a="1"/>
  <c r="X99" i="1" a="1"/>
  <c r="X101" i="1" a="1"/>
  <c r="X88" i="1" a="1"/>
  <c r="X79" i="1" a="1"/>
  <c r="X106" i="1" a="1"/>
  <c r="X66" i="1" a="1"/>
  <c r="X40" i="1" a="1"/>
  <c r="X98" i="1" a="1"/>
  <c r="X100" i="1" a="1"/>
  <c r="X112" i="1" l="1"/>
  <c r="C117" i="1"/>
  <c r="C118" i="1" s="1"/>
  <c r="X106" i="1"/>
  <c r="X102" i="1"/>
  <c r="X98" i="1"/>
  <c r="X94" i="1"/>
  <c r="X90" i="1"/>
  <c r="X86" i="1"/>
  <c r="X82" i="1"/>
  <c r="X78" i="1"/>
  <c r="X74" i="1"/>
  <c r="X70" i="1"/>
  <c r="X66" i="1"/>
  <c r="X62" i="1"/>
  <c r="X58" i="1"/>
  <c r="X54" i="1"/>
  <c r="X50" i="1"/>
  <c r="X46" i="1"/>
  <c r="X42" i="1"/>
  <c r="X38" i="1"/>
  <c r="X34" i="1"/>
  <c r="X30" i="1"/>
  <c r="X26" i="1"/>
  <c r="X22" i="1"/>
  <c r="X18" i="1"/>
  <c r="X14" i="1"/>
  <c r="X10" i="1"/>
  <c r="X6" i="1"/>
  <c r="X101" i="1"/>
  <c r="X85" i="1"/>
  <c r="X65" i="1"/>
  <c r="X41" i="1"/>
  <c r="X13" i="1"/>
  <c r="X9" i="1"/>
  <c r="X5" i="1"/>
  <c r="X81" i="1"/>
  <c r="X25" i="1"/>
  <c r="X105" i="1"/>
  <c r="X93" i="1"/>
  <c r="X73" i="1"/>
  <c r="X57" i="1"/>
  <c r="X49" i="1"/>
  <c r="X37" i="1"/>
  <c r="X33" i="1"/>
  <c r="X29" i="1"/>
  <c r="X17" i="1"/>
  <c r="X108" i="1"/>
  <c r="X100" i="1"/>
  <c r="X92" i="1"/>
  <c r="X84" i="1"/>
  <c r="X76" i="1"/>
  <c r="X68" i="1"/>
  <c r="X60" i="1"/>
  <c r="X52" i="1"/>
  <c r="X48" i="1"/>
  <c r="X40" i="1"/>
  <c r="X36" i="1"/>
  <c r="X32" i="1"/>
  <c r="X28" i="1"/>
  <c r="X20" i="1"/>
  <c r="X16" i="1"/>
  <c r="X12" i="1"/>
  <c r="X4" i="1"/>
  <c r="X97" i="1"/>
  <c r="X77" i="1"/>
  <c r="X61" i="1"/>
  <c r="X53" i="1"/>
  <c r="X21" i="1"/>
  <c r="X104" i="1"/>
  <c r="X96" i="1"/>
  <c r="X88" i="1"/>
  <c r="X80" i="1"/>
  <c r="X72" i="1"/>
  <c r="X64" i="1"/>
  <c r="X56" i="1"/>
  <c r="X44" i="1"/>
  <c r="X24" i="1"/>
  <c r="X8" i="1"/>
  <c r="X110" i="1"/>
  <c r="X109" i="1"/>
  <c r="X89" i="1"/>
  <c r="X69" i="1"/>
  <c r="X45" i="1"/>
  <c r="X111" i="1"/>
  <c r="X107" i="1"/>
  <c r="X103" i="1"/>
  <c r="X99" i="1"/>
  <c r="X95" i="1"/>
  <c r="X91" i="1"/>
  <c r="X87" i="1"/>
  <c r="X83" i="1"/>
  <c r="X79" i="1"/>
  <c r="X75" i="1"/>
  <c r="X71" i="1"/>
  <c r="X67" i="1"/>
  <c r="X63" i="1"/>
  <c r="X59" i="1"/>
  <c r="X55" i="1"/>
  <c r="X51" i="1"/>
  <c r="X47" i="1"/>
  <c r="X43" i="1"/>
  <c r="X39" i="1"/>
  <c r="X35" i="1"/>
  <c r="X31" i="1"/>
  <c r="X27" i="1"/>
  <c r="X23" i="1"/>
  <c r="X19" i="1"/>
  <c r="X15" i="1"/>
  <c r="X11" i="1"/>
  <c r="X7" i="1"/>
  <c r="X3" i="1"/>
  <c r="X2" i="1"/>
  <c r="X113" i="1" s="1"/>
  <c r="U113" i="1"/>
  <c r="P114" i="1" s="1"/>
  <c r="K113" i="1"/>
  <c r="Q114" i="1" l="1"/>
  <c r="O114" i="1"/>
  <c r="R114" i="1"/>
  <c r="U114" i="1"/>
  <c r="T114" i="1"/>
  <c r="N114" i="1"/>
  <c r="J114" i="1"/>
  <c r="D114" i="1"/>
  <c r="S114" i="1"/>
  <c r="I114" i="1"/>
  <c r="K114" i="1"/>
  <c r="H114" i="1"/>
  <c r="G114" i="1"/>
  <c r="E114" i="1"/>
  <c r="F1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<sst xmlns="http://schemas.openxmlformats.org/spreadsheetml/2006/main" count="476" uniqueCount="462">
  <si>
    <t>&lt;g id="i1"&gt;ВИРТУАЛЬНАЯ МОДЕЛЬ СОТРУДНИЧЕСТВА: информация для руководителей, руководителей горнодобывающих предприятий и сотрудников, работающих на передовой,&lt;/g&gt;</t>
  </si>
  <si>
    <t>By Antoine LAFONT DE SENTENAC&lt;g id="i2"&gt;The Sustainable Mining Network&lt;/g&gt;&lt;g id="i3"&gt;2021-07-15- Moderated&lt;/g&gt;</t>
  </si>
  <si>
    <t>Antoine LAFONT DE &lt;g id="i2"&gt;SENTENACThe Sustainable Mining Network2021-07-15 —&lt;/g&gt;&lt;g id="i3"&gt; Модерально&lt;/g&gt;</t>
  </si>
  <si>
    <t>&lt;g id="i4"&gt;На первом этапе этой серии, состоящей из пяти частей&lt;/g&gt;, мы рассмотрели необходимость сбора данных из различных и разнообразных источников, хранящихся в организации, в процессе, называемом объединением данных.</t>
  </si>
  <si>
    <t>После завершения объединения данных для доступа ко всей информации организации мы говорим о следующем этапе: цифровом потоке, фреймворке, соединяющем поток данных и интегрирующем ракурс по традиционно разрозненным функциональным перспективам на протяжении всего жизненного цикла активов и операций.</t>
  </si>
  <si>
    <t>Цифровая нить предоставляет нужную информацию в нужное место в нужное время для оптимизации стратегии.</t>
  </si>
  <si>
    <t>Эффективная цифровая нить делает операционные данные видимыми, анализируемыми и полезными для руководителей, руководителей горнодобывающих предприятий и сотрудников, работающих на передовой.</t>
  </si>
  <si>
    <t>People understand why their jobs matter when they see beyond their own narrow perspectives.</t>
  </si>
  <si>
    <t>Люди понимают, почему их работа имеет значение, когда они видят вне своих узких перспектив.</t>
  </si>
  <si>
    <t>The digital thread represents one of three main components in a virtual twin concept: the physical product in real space, the virtual product in virtual space, and the connection of data and information linking real space to virtual space.</t>
  </si>
  <si>
    <t>Цифровой поток представляет один из трех основных компонентов в концепции виртуального двойника: физический продукт в реальном пространстве, виртуальный продукт в виртуальном пространстве и соединение данных и информации, связывающих реальное пространство с виртуальным пространством.</t>
  </si>
  <si>
    <t>This “virtuous cycle” accurately represents the current state of things as they are and allows you to visualize a future state of things as they might be, in a formal framework for actionable information.</t>
  </si>
  <si>
    <t>Этот «добродетельный цикл» точно отражает текущее состояние вещей и позволяет визуализировать будущее состояние вещей, как бы они ни были, в формальной структуре для получения информации, дающей основания для действий.</t>
  </si>
  <si>
    <t>This virtuous cycle helps people make strategic decisions quickly and more efficiently than traditional document exchanges between siloed functional groups.</t>
  </si>
  <si>
    <t>Этот добродетельный цикл помогает людям быстро и эффективнее принимать стратегические решения, чем традиционный обмен документами между разрозненными функциональными группами.</t>
  </si>
  <si>
    <t>Having a digital continuity between financial assumptions (commodity prices, energy cost…), geology, terrain, and in-field operational information enables you to have a permanent consistency in your planning (from short term to long term and vice-versa).</t>
  </si>
  <si>
    <t>Наличие цифровой непрерывности между финансовыми предположениями (цены на сырьевые товары, затраты на энергоносители…), геологией, рельефом местности и эксплуатационной информацией на местах позволяет обеспечить постоянную согласованность планирования (от краткосрочного до долгосрочного и наоборот).</t>
  </si>
  <si>
    <t>Это позволяет избежать противоречащих друг другу решений, принятых одновременно в разных частях шахты, что может повредить чистую приведенную стоимость.</t>
  </si>
  <si>
    <t>С помощью цифровых потоков шахтеры могут визуализировать динамический жизненный цикл операции через сети, преобразуя контекстные данные датчиков в модели, используемые для создания цифрового двойника.</t>
  </si>
  <si>
    <t>Интерфейс человека/машины, будь то AR/VR или мобильные устройства, предоставляет работникам разного уровня квалификации представление об оборудовании или процессе, имеющее смысл для их конкретной функции.</t>
  </si>
  <si>
    <t>At the same time, data intelligence translates raw data into insight for workers, shift supervisors and planners.</t>
  </si>
  <si>
    <t>В то же время анализ данных преобразует необработанные данные в ценную информацию для сотрудников, сменяющих руководителей и плановиков.</t>
  </si>
  <si>
    <t>This dynamic platform connects enterprise, planning and engineering data.</t>
  </si>
  <si>
    <t>Эта динамическая платформа объединяет корпоративные данные, данные планирования и конструирования.</t>
  </si>
  <si>
    <t>Моделирование предоставляет виртуальный ракурс операций, который позволяет плановикам выполнять сценарии "что, если".</t>
  </si>
  <si>
    <t>Combined with variability analysis, this capability lets them test realistic scenarios closest to the operations.</t>
  </si>
  <si>
    <t>В сочетании с анализом вариативности эта возможность позволяет тестировать реалистичные сценарии, наиболее близкие к операциям.</t>
  </si>
  <si>
    <t>В результате улучшается процесс принятия решений и улучшен контроль над проектами за счет обмена данными, а не документами.</t>
  </si>
  <si>
    <t>В подземной добыче постоянно необходимо обновлять эксплуатационные параметры в постоянно меняющейся среде.</t>
  </si>
  <si>
    <t>In a virtual twin, every piece of equipment would have a digital identity with unique characteristics.</t>
  </si>
  <si>
    <t>В виртуальном двойнике каждая единица оборудования будет иметь цифровую идентичность с уникальными характеристиками.</t>
  </si>
  <si>
    <t>A digital thread maps out data sets collected through various IoT sensors.</t>
  </si>
  <si>
    <t>Цифровые потоки сопоставляют наборы данных, собранные с помощью различных датчиков Интернета вещей.</t>
  </si>
  <si>
    <t>In the areas of scheduling and work management, it is critical to have access to the latest information.</t>
  </si>
  <si>
    <t>В областях календарного планирования и управления работами важно иметь доступ к актуальной информации.</t>
  </si>
  <si>
    <t>This is the only way to build realistic plans.</t>
  </si>
  <si>
    <t>Это единственный способ выстраивать реалистичные планы.</t>
  </si>
  <si>
    <t>Having more realistic plans improves throughput, reduces waste, and optimizes costs.</t>
  </si>
  <si>
    <t>Наличие более реалистичных планов повышает производительность, сокращает отходы и оптимизирует затраты.</t>
  </si>
  <si>
    <t>In parallel, this ensures production and quality targets are met.</t>
  </si>
  <si>
    <t>Параллельно это обеспечивает выполнение целевых показателей производства и качества.</t>
  </si>
  <si>
    <t>Finally, operators and staff can be motivated by understanding their contribution to the plan.</t>
  </si>
  <si>
    <t>Наконец, операторы и персонал могут быть мотивированы пониманием их вклада в план.</t>
  </si>
  <si>
    <t>SRC</t>
  </si>
  <si>
    <t>&lt;g id="i1"&gt;VIRTUAL TWIN MATURITY MODEL: automating tasks to reduce human exposure&lt;/g&gt;</t>
  </si>
  <si>
    <t>&lt;g id="i1"&gt;ВИРТУАЛЬНАЯ МОДЕЛЬ МАТЕРИАЛА: автоматизация задач по снижению воздействия на человека&lt;/g&gt;</t>
  </si>
  <si>
    <t>By Antoine LAFONT DE SENTENAC&lt;g id="i2"&gt;The Sustainable Mining Network&lt;/g&gt;&lt;g id="i3"&gt;2021-07-29&lt;/g&gt;</t>
  </si>
  <si>
    <t>Antoine LAFONT DE &lt;g id="i2"&gt;SENTENACThe Sustainable Mining &lt;g id="i3"&gt;Network2021-07-29&lt;/g&gt;&lt;/g&gt;</t>
  </si>
  <si>
    <t>In our previous posts, we talked about using virtual twins to create simulations for training, to test alternative scenarios, and for strategic planning, and operational execution.</t>
  </si>
  <si>
    <t>В предыдущих публикациях мы обсуждали использование виртуальных двойников для моделирования обучения, тестирования альтернативных сценариев, стратегического планирования и выполнения операций.</t>
  </si>
  <si>
    <t>Here we talk about automation.</t>
  </si>
  <si>
    <t>Здесь мы говорим об автоматизации.</t>
  </si>
  <si>
    <t>Поскольку цифровой двойник основан на физическом альтернативе, они связаны друг с другом.</t>
  </si>
  <si>
    <t>This means that the physical machinery and/or system can be controlled via the digital platform where its virtual twin resides.</t>
  </si>
  <si>
    <t>Это означает, что управление физическим оборудованием и/или системой может осуществляться через цифровую платформу, где находится виртуальный двойник.</t>
  </si>
  <si>
    <t>Machinery and equipment that people operate – even remotely-- can be controlled with full automation using algorithms that map routes, timing, and how a piece of equipment is used to execute work.</t>
  </si>
  <si>
    <t>Машины и оборудование, которое работает людьми, даже удаленно, можно контролировать с помощью полной автоматизации с помощью алгоритмов, отображающих маршруты, сроки и способы использования единицы оборудования для выполнения работ.</t>
  </si>
  <si>
    <t>Автоматизация в некоторых горнодобывающих секторах уже началась.</t>
  </si>
  <si>
    <t>Люди, находящиеся в центрах дистанционной эксплуатации, в течение многих лет контролируют локомотивы и грузовые автомобили на крупных австралийских горнодобывающих предприятиях.</t>
  </si>
  <si>
    <t>Автоматизация и робототехника передвигают людей от задач с низкой добавленной стоимостью в опасных условиях к более безопасным и желательным местам, где они могут более эффективно выполнять свою работу.</t>
  </si>
  <si>
    <t>Various organizations such as CSIRO, Australia's national science agency, are developing digital twin technologies for mining that make remote operations more immersive, giving operators a stronger sense of “being there.”</t>
  </si>
  <si>
    <t>Различные организации, такие как CSIRO, австралийское национальное научное агентство, разрабатывают технологии цифровых двойников для горнодобывающей промышленности, которые делают дистанционные операции более погруженными, давая операторам более сильное ощущение «там».</t>
  </si>
  <si>
    <t>Такие технологии включают в себя смешивание смешанной реальности и технологии digital-twin для усиления контроля невидимости.</t>
  </si>
  <si>
    <t>«Мы называем дистанционные операции «человек-в-лоп-автоматизации», потому что несмотря на то, что автоматизация меняет свои роли, люди крайне важны для операций, так как они гораздо более креативны и могут более эффективно реагировать на исключительные обстоятельства», - сказал Крейг Джеймс (Craig James), старший сотрудник по исследовательским проектам интегрированной горной команды в Mine Processing Technologies, на сайте CSIRO.</t>
  </si>
  <si>
    <t>The capability improves mine safety by reducing human exposure to dangerous environments.</t>
  </si>
  <si>
    <t>Способность повышать безопасность шахт за счет уменьшения подверженности человека опасным средам.</t>
  </si>
  <si>
    <t>Иммерсивные технологии, такие как дополненная реальность (AR) и виртуальная реальность (VR), повышают ситуационную осведомленность за счет более глубокого позиционирования людей в виртуальных средах, смоделированных с использованием фактических данных, которые реплицируют физические места и процессы добычи в реальном времени.</t>
  </si>
  <si>
    <t>Task Automation via a virtual twin platform can also improve organizational responsiveness along entire value chains with live data.</t>
  </si>
  <si>
    <t>Автоматизация задач через виртуальную двойную платформу также может улучшить реагирование организации по всем цепочкам создания добавленной стоимости с актуальными данными.</t>
  </si>
  <si>
    <t>Every test can be executed in a digital simulation, using the actual machinery and equipment.</t>
  </si>
  <si>
    <t>Каждый тест можно выполнить в цифровом моделировании с использованием фактических машин и оборудования.</t>
  </si>
  <si>
    <t>Актуальные данные можно использовать напрямую для моделирования в цикле.</t>
  </si>
  <si>
    <t>Planning, walkdowns and training can be virtualized using twins to give direct access to information improving efficiency and safety.</t>
  </si>
  <si>
    <t>Планирование, демонстрация и обучение можно виртуализировать с помощью двойников, чтобы обеспечить прямой доступ к информации, повышающей эффективность и безопасность.</t>
  </si>
  <si>
    <t>In parallel, always up to date virtual twin is a prerequisite to perform work orders using robots.</t>
  </si>
  <si>
    <t>Параллельно всегда актуальный виртуальный двойник является предпосылкой для выполнения заказов на работу с помощью роботов.</t>
  </si>
  <si>
    <t>Automation through virtual twins helps the mining sector accelerate changes it must make to meet global sustainability goals by 2030.</t>
  </si>
  <si>
    <t>Автоматизация с помощью виртуальных двойников помогает горнодобывающему сектору ускорить изменения, которые он должен внести для достижения глобальных целей в области устойчивого развития к 2030 году.</t>
  </si>
  <si>
    <t>These changes must transform production, processes, and equipment over entire lifecycles, from design, use and end-of-life, as well as people and resources.</t>
  </si>
  <si>
    <t>Эти изменения должны трансформировать производство, процессы и оборудование на протяжении всего жизненного цикла, от проектирования, использования и окончания жизненного цикла, а также людей и ресурсов.</t>
  </si>
  <si>
    <t>Finally, mining must recruit “digital natives” steeped in technology for whom sustainability and digital literacy are pre-requisites to join a company.</t>
  </si>
  <si>
    <t>Наконец, горнодобывающая промышленность должна привлекать «цифровых туземцев», которые ориентируются на технологии, для которых устойчивое развитие и цифровая грамотность являются предпосылками для присоединения к компании.</t>
  </si>
  <si>
    <t>Since ageing workers are retiring faster than companies can replace them, automating tasks is a pre-requisite to run companies with fewer employees.</t>
  </si>
  <si>
    <t>Поскольку устаревшие работники уходят на пенсию быстрее, чем компании могут их заменить, автоматизация задач является предпосылкой для управления компаниями с меньшим числом сотрудников.</t>
  </si>
  <si>
    <t>Виртуальные двойные архитектуры делают это возможным, открыв карьерные двери для этого нового поколения специалистов по горной промышленности, имеющих решающее значение для этой трансформации.</t>
  </si>
  <si>
    <t>Этот устойчивый, квалифицированный и гибкий персонал находится в центре нашей следующей и последней части, где мы не ограничиваемся автоматизацией отдельных задач и автоматизацией сайта, используя виртуальных двойников и робототехнику для дистанционного управления всеми процессами, парками и оборудованием.</t>
  </si>
  <si>
    <t>&lt;g id="i1"&gt;ВИРТУАЛЬНАЯ МОДЕЛЬ МАТЕРИАЛА: полная автоматизация сайта возможна в наше время&lt;/g&gt;</t>
  </si>
  <si>
    <t>By &lt;g id="i2"&gt;Anthony JACOBS&lt;/g&gt;&lt;g id="i3"&gt;The Sustainable Mining Network&lt;/g&gt;&lt;g id="i4"&gt;2021-08-04&lt;/g&gt;</t>
  </si>
  <si>
    <t>&lt;g id="i2"&gt;Anthony JACOBSThe&lt;/g&gt;&lt;g id="i3"&gt; Sustainable Mining &lt;g id="i4"&gt;Network2021-08-04&lt;/g&gt;&lt;/g&gt;</t>
  </si>
  <si>
    <t>Miners are adopting automation cautiously, incrementally.</t>
  </si>
  <si>
    <t>Горнодобытчики применяют автоматизацию осторожно и поэтапно.</t>
  </si>
  <si>
    <t>Тем не менее, полная автоматизация сайта характерна для отрасли.</t>
  </si>
  <si>
    <t>Rio Tinto launched its Mine of the Future initiative in 2008, and by 2014 the company had hauled 200 million tons with a fleet of autonomous mining vehicles in Australia's remote, mineral rich Pilbara region.</t>
  </si>
  <si>
    <t>Rio Tinto запустила свою инициативу по добыче будущего в 2008 году, и к 2014 году компания поглотила 200 миллионов тонн автопарка автономных горнодобывающих транспортных средств в отдалённом, богатом минеральными ресурсами регионе Пилбара.</t>
  </si>
  <si>
    <t>В 2019 году первая в мире полностью автоматизированная шахта начала производство на Сыамском подземном золотом руднике Resolute Mining в Мали.</t>
  </si>
  <si>
    <t>Between 2006 and 2016, German component manufacturer Elektro-Elektronik Pranjic deployed more than 60 sets of advanced automatic hydraulic control components for underground coal mining at the Tang Shan Gou mine operated by the China National Coal Group Corp.</t>
  </si>
  <si>
    <t>В период с 2006 по 2016 год немецкий производитель компонентов Elektro-Elektronik Pranjic развернул более 60 комплектов усовершенствованных компонентов автоматического гидравлического управления для подземной добычи угля на шахте Tang Shan Gou, эксплуатируемой China National Coal Group Corp.</t>
  </si>
  <si>
    <t>Market research firm &lt;g id="i5"&gt;Mordor Intelligence&lt;/g&gt; forecasts the automated mining equipment market will grow by 35.38 percent from 2021 to 2026.</t>
  </si>
  <si>
    <t>По прогнозам исследовательской компании &lt;g id="i5"&gt;Mordor Intelligence&lt;/g&gt;, рынок автоматизированного горнодобывающего оборудования с 2021 по 2026 год вырастет на 35,38%.</t>
  </si>
  <si>
    <t>Virtual twin platforms provide the operational environment with robotics serving as the link between virtual and physical worlds to operate processes, fleets, and facilities.</t>
  </si>
  <si>
    <t>Full automation refers to the autonomous control of one or more mining vehicles.</t>
  </si>
  <si>
    <t>Роботические компоненты управляют всеми критически важными функциями транспортных средств, такими как зажигание, рулевое управление, привод, ускорение, торможение, управление лезвием, управление свалками, ведро экскаватора, бум и т. д., без вмешательства оператора.</t>
  </si>
  <si>
    <t>Resolute Mining calls its automated Syama underground gold mine in Mali “the most advanced mining automation system in the world.”</t>
  </si>
  <si>
    <t>Resolute Mining называет свой автоматизированный подземный золотодобывающий рудник Syama в Мали «самой передовой системой автоматизации горных работ в мире».</t>
  </si>
  <si>
    <t>Бурение, погрузка и демпинг, грузовые перевозки и навигация по грузовым автомобилям автоматизированы благодаря цифровизации шахт и централизованному мониторингу и визуализации.</t>
  </si>
  <si>
    <t>Сяма был создан как автоматизированная операция с самого начала.</t>
  </si>
  <si>
    <t>Существующие мины должны быть модифицированы, чтобы они стали полностью автоматизированными.</t>
  </si>
  <si>
    <t>Полностью автономные горнодобывающие системы повышают производительность, поскольку программное обеспечение управляет транспортными средствами горнодобывающей промышленности, а операторы выступают в качестве посредников, которые устраняют ошибки и отслеживают эффективность.</t>
  </si>
  <si>
    <t>At the University of Sydney Rio Tinto Centre for Mine Automation (RTCMA), researchers are developing perception algorithms, sensing technologies, machine learning and data fusion as well as operations, stochastic optimization, and control architectures.</t>
  </si>
  <si>
    <t>Превращение этой теоретической работы в полностью функциональную автоматизированную шахту, однако, требует больше, чем утонченная магистраль передачи данных, передовая робототехника и блестящее программное обеспечение.</t>
  </si>
  <si>
    <t>Успех зависит от нового поколения специалистов по «цифровой нативной» горной промышленности, которые облегчают работу роботов при интерпретации информации, постоянно генерируемой полевыми датчиками и алгоритмами прогнозного моделирования.</t>
  </si>
  <si>
    <t>Виртуальный двойник является критически важным операционным инструментом, но будущее отрасли в конечном итоге зависит, как всегда, от людей и тщательного управления изменениями.</t>
  </si>
  <si>
    <t>Это важное сообщение для отрасли с устаревающим рабочим персоналом: автоматизация создает новые задания.</t>
  </si>
  <si>
    <t>“All miners are going through a technology journey,” Riku Pulli, vice president of automation at Sandvik Mining and Rock Technology, told &lt;g id="i6"&gt;Mining Technology&lt;/g&gt; magazine in 2018.</t>
  </si>
  <si>
    <t>«Все горняки переживают технологический путь, – рассказал в 2018 году в журнале &lt;g id="i6"&gt;Mining Technology&lt;/g&gt; вице-президент по автоматизации Sandvik Mining and Rock Technology Рику Пулли (Riku Pulli).</t>
  </si>
  <si>
    <t>“Technology and adaptive technology provides a great opportunity to train local workers to use equipment in a way we haven’t been able to do in the past.”</t>
  </si>
  <si>
    <t>«Технологии и адаптивные технологии дают отличную возможность обучать местных работников использованию оборудования таким образом, каким мы не могли сделать это в прошлом».</t>
  </si>
  <si>
    <t>&lt;g id="i1"&gt;VIRTUAL TWIN MATURITY MODEL: Productivity transformed through effective strategic and operational planning&lt;/g&gt;</t>
  </si>
  <si>
    <t>&lt;g id="i1"&gt;ВИРТУАЛЬНАЯ МОДЕЛЬ МАТЕРИАЛА: рост производительности за счет эффективного стратегического и оперативного планирования&lt;/g&gt;</t>
  </si>
  <si>
    <t>By Anthony JACOBS&lt;g id="i2"&gt;The Sustainable Mining Network&lt;/g&gt;&lt;g id="i3"&gt;2021-07-21- Edited&lt;/g&gt;</t>
  </si>
  <si>
    <t>Anthony &lt;g id="i2"&gt;JACOBSThe Sustainable Mining Network2021-07-21 под&lt;/g&gt;&lt;g id="i3"&gt; редакцией&lt;/g&gt;</t>
  </si>
  <si>
    <t>Data is assembled.</t>
  </si>
  <si>
    <t>Данные собраны.</t>
  </si>
  <si>
    <t>A digital thread links physical and virtual worlds for a unified view that optimizes decision making and strategy.</t>
  </si>
  <si>
    <t>Цифровая нить связывает физические и виртуальные миры для формирования единого представления, которое оптимизирует принятие решений и стратегию.</t>
  </si>
  <si>
    <t>Now what?</t>
  </si>
  <si>
    <t>Что теперь?</t>
  </si>
  <si>
    <t>In this third installment of our series, we examine how a digital platform is used to assign, support and report on what people and things do.</t>
  </si>
  <si>
    <t>В третьей части серии мы узнаем, как цифровая платформа используется для распределения задач, поддержки и составления отчетов о том, что делают люди и что делают люди.</t>
  </si>
  <si>
    <t>This is for strategic, operational planning and execution, and it is an effective way to transform productivity.</t>
  </si>
  <si>
    <t>Он предназначен для стратегического, оперативного планирования и выполнения и является эффективным способом преобразования производительности.</t>
  </si>
  <si>
    <t>В то время как некоторые горнодобывающие компании оценивают способы запуска таких решений для совместной работы в цифровом режиме, другие отрасли уже добились значительных успехов в развертывании платформ оптимизации планирования и выполнения виртуальных двойников.</t>
  </si>
  <si>
    <t>Почти десять лет назад компания AGCO, крупнейший в мире производитель тракторов и третий по величине поставщик сельскохозяйственной техники, внедрила платформу управления производственными операциями (MOM), которая собирает производственные данные в реальном времени, обеспечивая быструю видимость всех производственных операций с возможностью детализации до уровня оборудования.</t>
  </si>
  <si>
    <t>Инструментальная панель производства содержит ключевые показатели эффективности, которые постоянно обновляются для проверки руководством.</t>
  </si>
  <si>
    <t>Система автоматически регистрирует состояния оборудования/производства (время выполнения, время простоя, настройка).</t>
  </si>
  <si>
    <t>AGCO’s system downloads work orders from its ERP system, which are then updated with production data to form a seamless continuous improvement loop.</t>
  </si>
  <si>
    <t>Система AGCO выгружает заказы на работу из своей ERP-системы, которые затем обновляются производственными данными для формирования бесперебойного цикла непрерывной оптимизации.</t>
  </si>
  <si>
    <t>Компания AGCO практически сразу же добилась заметных улучшений в плане пропускной способности, эффективности, производительности и прибыли.</t>
  </si>
  <si>
    <t>Компания задокументировала удвоение общего объема производства без снижения эффективности, что привело к увеличению маржи прибыли.</t>
  </si>
  <si>
    <t>With increased transparency, the company now enjoys an improved allocation and utilization of capital invested for machines.</t>
  </si>
  <si>
    <t>Благодаря повышенной прозрачности компания теперь пользуется улучшенным распределением и использованием капитала, вложенного в машины.</t>
  </si>
  <si>
    <t>Standardized, reliable and objective process performance data such as production times, setup times, and non-productive times allow better management of valuable capital.</t>
  </si>
  <si>
    <t>Стандартизированные, надежные и объективные данные о производительности процессов, такие как время производства, время наладки и непродуктивное время, позволяют оптимизировать управление ценным капиталом.</t>
  </si>
  <si>
    <t>Monitoring, improving, and accelerating machine maintenance processes have reduced downtime leading to reduced operating costs.</t>
  </si>
  <si>
    <t>Мониторинг, улучшение и ускорение процессов технического обслуживания оборудования сократили время простоя, что привело к сокращению эксплуатационных расходов.</t>
  </si>
  <si>
    <t>Последовательный автоматизированный сбор данных обеспечивает большую прозрачность на производственном участке в поддержку устранения отходов и повышения производительности.</t>
  </si>
  <si>
    <t>Similar platforms have been implemented in many other factory-floor manufacturing environments, but the mining sector presents unique challenges.</t>
  </si>
  <si>
    <t>Аналогичные платформы были внедрены во многих других производственных средах, но горнодобывающий сектор ставит перед собой уникальные задачи.</t>
  </si>
  <si>
    <t>Mining faces factors manufacturing does not, such as geological uncertainty and unpredictable or extreme weather.</t>
  </si>
  <si>
    <t>Горнодобывающая промышленность сталкивается с такими факторами, как геологическая неопределенность и непредсказуемость или экстремальная погода.</t>
  </si>
  <si>
    <t> Технологии виртуальных двойников могут включать эти переменные, при этом позволяя операторам улучшать планирование, календарное планирование и выполнение задач на основе последовательности, времени, продолжительности, тонны, сорта, обслуживания, безопасности и соблюдения нормативных требований.</t>
  </si>
  <si>
    <t>В горнодобывающем секторе были некоторые пионеры усыновления.</t>
  </si>
  <si>
    <t>In 2016, Anglo American implemented a digital twin operation to improve haulage at its Los Bronces site in Chile.</t>
  </si>
  <si>
    <t>В 2016 году Anglo American реализовала операцию цифрового двойника для улучшения хауляжа на своем сайте Los Bronces в Чили.</t>
  </si>
  <si>
    <t>By 2018, Rio Tinto was using a digital twin to simulate its processing plant at the company’s new “intelligent mine” at Koodaideri in Western Australia.</t>
  </si>
  <si>
    <t>К 2018 году Rio Tinto использует цифровой двойник для моделирования своего перерабатывающего завода в новой интеллектуальной шахте компании в Кудайдери в Западной Австралии.</t>
  </si>
  <si>
    <t>В том же году на золотодобывающей и серебряной шахте Пан Хуайсай в Лаосе был установлен алгоритм машинного обучения для прогнозирования будущих металлургических характеристик на основе результатов предыдущего технологического завода.</t>
  </si>
  <si>
    <t>Today, battery markets are expanding to serve growing electric vehicle (EV) manufacturing, and miners are ramping up base metals production for such raw materials as lithium, cobalt, aluminum, and nickel.</t>
  </si>
  <si>
    <t>Сегодня рынки аккумуляторов расширяются, чтобы обслуживать растущее производство электромобилей (EV), и шахтеры наращивают производство базовых металлов для такого сырья, как литий, кобальт, алюминий и никель.</t>
  </si>
  <si>
    <t>Для оптимизации разработки горнодобывающих проектов и ускорения выхода на рынок шахтеры разрабатывают цифровые платформы оптимизации процесса от планирования до выполнения в области стратегического планирования добычи и управления жизненным циклом проектирования (ELM).</t>
  </si>
  <si>
    <t>Плановики планируют преобразовать процессы инвестиционных проектов и достичь более высокой продуктивности проектов с помощью расширенной аналитики для координации ресурсов.</t>
  </si>
  <si>
    <t>The new platforms will result in better plan adherence with live site reporting of issues feeding changes.</t>
  </si>
  <si>
    <t>Новые платформы приведут к лучшему соблюдению плана с помощью интерактивных отчетов о проблемах, которые вносят изменения.</t>
  </si>
  <si>
    <t>Менеджеры смогут повысить эффективность выполнения с помощью информации по мере необходимости, что приведет к улучшениям на всех сайтах.</t>
  </si>
  <si>
    <t>That is important, because once proven, the platform can be expanded across companies’ many other mining and infrastructure operations internationally, which include hydroelectricity plants and a large network of railroads, ships, and ports used to transport its products.</t>
  </si>
  <si>
    <t>Это важно, поскольку, как только платформа будет доказана, она может быть расширена среди многих других горнодобывающих и инфраструктурных операций компаний на международном уровне, включая гидроэлектростанции и крупную сеть железных дорог, судов и портов, используемых для перевозки своей продукции.</t>
  </si>
  <si>
    <t>Profound business transformation is possible in a digital environment because frontline workers and management have windows to the same information.</t>
  </si>
  <si>
    <t>Надежная трансформация бизнеса возможна в цифровой среде, поскольку у сотрудников и руководства есть окна для получения одинаковой информации.</t>
  </si>
  <si>
    <t>This builds trust, confidence, and agility throughout a unified, holistic process.</t>
  </si>
  <si>
    <t>Это способствует укреплению доверия, уверенности и гибкости на протяжении всего унифицированного и целостного процесса.</t>
  </si>
  <si>
    <t>In our next post, we look to the future in which the imperatives of globally recognized sustainability goals are achievable through automation enabled by virtual twin technology.</t>
  </si>
  <si>
    <t>На следующем посту мы смотрим в будущее, в котором императивы общепризнанных глобальных целей устойчивого развития достижимы благодаря автоматизации с помощью технологии виртуальных двойников.</t>
  </si>
  <si>
    <t>Google Translate</t>
  </si>
  <si>
    <t>Human Gold Standard</t>
  </si>
  <si>
    <t>&lt;g id="i1"&gt;ВИРТУАЛЬНАЯ МОДЕЛЬ ДВОЙНОЙ ЗРЕЛОСТИ: полезная информация для руководителей, руководителей горнодобывающих предприятий и рабочих&lt;/g&gt;</t>
  </si>
  <si>
    <t>Антуан ЛАФОН ДЕ СЕНТЕНАК&lt;g id="i2"&gt;Сеть устойчивой добычи полезных ископаемых&lt;/g&gt;&lt;g id="i3"&gt;2021-07-15- Модерируется&lt;/g&gt;</t>
  </si>
  <si>
    <t>&lt;g id="i4"&gt;В первом посте этой серии из пяти частей&lt;/g&gt;мы обсудили необходимость сбора данных из различных и разнообразных источников, похороненных по всей организации, в процессе, называемом объединением данных.</t>
  </si>
  <si>
    <t>Когда объединение данных завершено для доступа ко всей информации вашей организации, мы поговорим о следующем этапе: цифровом потоке, структуре, которая объединяет потоки данных и интегрирует представление по традиционно разрозненным функциональным перспективам на протяжении жизненных циклов активов и операций.</t>
  </si>
  <si>
    <t>Цифровая ветка доставляет нужную информацию в нужное место в нужное время для оптимизации стратегии.</t>
  </si>
  <si>
    <t>Эффективная цифровая нить делает операционные данные видимыми, доступными для анализа и практическими действиями для руководителей, руководителей горнодобывающих предприятий и непосредственных рабочих.</t>
  </si>
  <si>
    <t>Люди понимают, почему их работа важна, когда они выходят за рамки своих узких кругозоров.</t>
  </si>
  <si>
    <t>Цифровая нить представляет собой один из трех основных компонентов концепции виртуального двойника: физический продукт в реальном пространстве, виртуальный продукт в виртуальном пространстве и соединение данных и информации, связывающее реальное пространство с виртуальным пространством.</t>
  </si>
  <si>
    <t>Этот «добродетельный цикл» точно представляет текущее состояние вещей такими, какие они есть, и позволяет вам визуализировать будущее состояние вещей, каким оно могло бы быть, в формальной структуре для получения информации, имеющей практическое значение.</t>
  </si>
  <si>
    <t>Этот эффективный цикл помогает людям принимать стратегические решения быстрее и эффективнее, чем традиционный обмен документами между разрозненными функциональными группами.</t>
  </si>
  <si>
    <t>Наличие цифровой преемственности между финансовыми предположениями (цены на сырьевые товары, стоимость энергии…), геологией, местностью и оперативной информацией в полевых условиях позволяет вам иметь постоянную последовательность в вашем планировании (от краткосрочного до долгосрочного и наоборот).</t>
  </si>
  <si>
    <t>Это позволяет избежать одновременной реализации противоречащих друг другу решений в разных частях рудника, что может повлиять на чистую приведенную стоимость.</t>
  </si>
  <si>
    <t>С помощью цифрового потока майнеры могут визуализировать динамическую жизнь операции через сети, контекстуализируя данные датчиков в моделях, используемых для создания цифрового двойника.</t>
  </si>
  <si>
    <t>Human/machine интерфейс, будь то AR/VR или мобильных устройств, дает работникам с разной квалификацией представление об оборудовании или процессе, которое имеет значение для их конкретной функции.</t>
  </si>
  <si>
    <t>В то же время аналитика данных преобразует необработанные данные в полезную информацию для рабочих, начальников смен и плановиков.</t>
  </si>
  <si>
    <t>Эта динамическая платформа объединяет корпоративные, плановые и инженерные данные.</t>
  </si>
  <si>
    <t>Моделирование обеспечивает виртуальное представление операций, которое позволяет планировщикам выполнять сценарии «что, если».</t>
  </si>
  <si>
    <t>В сочетании с анализом изменчивости эта возможность позволяет им тестировать реалистичные сценарии, наиболее близкие к операциям.</t>
  </si>
  <si>
    <t>В результате улучшается процесс принятия решений и улучшается контроль над проектом за счет данных, а не обмена документами.</t>
  </si>
  <si>
    <t>При подземной добыче существует постоянная потребность в обновлении эксплуатационных параметров в постоянно меняющихся условиях.</t>
  </si>
  <si>
    <t>В виртуальном двойнике каждая единица оборудования будет иметь цифровую идентификацию с уникальными характеристиками.</t>
  </si>
  <si>
    <t>Цифровой поток отображает наборы данных, собранные с помощью различных датчиков Интернета вещей.</t>
  </si>
  <si>
    <t>В области планирования и управления работой критически важно иметь доступ к последней информации.</t>
  </si>
  <si>
    <t>Это единственный способ строить реалистичные планы.</t>
  </si>
  <si>
    <t>Наличие более реалистичных планов увеличивает пропускную способность, сокращает отходы и оптимизирует затраты.</t>
  </si>
  <si>
    <t>Параллельно с этим обеспечивается выполнение целевых показателей по производству и качеству.</t>
  </si>
  <si>
    <t>&lt;g id="i1"&gt;МОДЕЛЬ ВИРТУАЛЬНОЙ ДВОЙНОЙ ЗРЕЛОСТИ: автоматизация задач для уменьшения воздействия на человека&lt;/g&gt;</t>
  </si>
  <si>
    <t>Антуан ЛАФОН ДЕ СЕНТЕНАК&lt;g id="i2"&gt;Сеть устойчивой добычи&lt;/g&gt;&lt;g id="i3"&gt;2021-07-29&lt;/g&gt;</t>
  </si>
  <si>
    <t>В наших предыдущих публикациях мы говорили об использовании виртуальных близнецов для создания симуляций для обучения, для тестирования альтернативных сценариев, а также для стратегического планирования и оперативного выполнения.</t>
  </si>
  <si>
    <t>Поскольку цифровой двойник основан на своей физической альтернативе, они связаны.</t>
  </si>
  <si>
    <t>Это означает, что физический механизм and/or Системой можно управлять через цифровую платформу, на которой находится ее виртуальный двойник.</t>
  </si>
  <si>
    <t>Машины и оборудование, которыми управляют люди - даже удаленно, - могут управляться с полной автоматизацией с использованием алгоритмов, которые отображают маршруты, время и то, как часть оборудования используется для выполнения работы.</t>
  </si>
  <si>
    <t>В некоторых горнодобывающих отраслях автоматизация уже началась.</t>
  </si>
  <si>
    <t>Сотрудники центров удаленного управления годами управляют локомотивами и тягачами на крупных горнодобывающих предприятиях Австралии.</t>
  </si>
  <si>
    <t>Автоматизация и робототехника перемещают людей от задач с низкой добавленной стоимостью в опасной среде в более безопасные и более желательные места, где они могут выполнять свою работу более эффективно.</t>
  </si>
  <si>
    <t>Различные организации, такие как CSIRO, национальное научное агентство Австралии, разрабатывают технологии цифровых двойников для добычи полезных ископаемых, которые делают удаленные операции более захватывающими, давая операторам более сильное ощущение «присутствия».</t>
  </si>
  <si>
    <t>Такие технологии включают смешение технологий смешанной реальности и цифровых двойников для улучшения контроля вне зоны прямой видимости.</t>
  </si>
  <si>
    <t>«Мы называем удаленные операции« автоматизацией человека в контуре », потому что, несмотря на то, что автоматизация меняет их роли, люди играют важную роль в работе, поскольку они намного более креативны и могут более эффективно реагировать на исключительные обстоятельства», - Крейг Джеймс. , Старший специалист по исследовательским проектам Объединенной горнодобывающей группы в Mine Processing Technologies, сообщил на сайте CSIRO.</t>
  </si>
  <si>
    <t>Эта возможность повышает безопасность шахт за счет снижения воздействия на человека опасной окружающей среды.</t>
  </si>
  <si>
    <t>Иммерсивные технологии, такие как дополненная реальность (AR) и виртуальная реальность (VR), повышают ситуационную осведомленность, помещая людей глубже в виртуальную среду, смоделированную с помощью реальных данных, которые воспроизводят физические места и процессы добычи в реальном времени.</t>
  </si>
  <si>
    <t>Автоматизация задач с помощью виртуальной платформы-двойника также может улучшить оперативность реагирования организации по всей цепочке создания стоимости с помощью оперативных данных.</t>
  </si>
  <si>
    <t>Каждый тест может быть выполнен в цифровом моделировании с использованием реальных машин и оборудования.</t>
  </si>
  <si>
    <t>Данные в реальном времени могут использоваться непосредственно для поддержки возможностей моделирования в цикле.</t>
  </si>
  <si>
    <t>Планирование, обходы и обучение можно виртуализировать с помощью близнецов, чтобы обеспечить прямой доступ к информации, повышая эффективность и безопасность.</t>
  </si>
  <si>
    <t>Параллельно с этим всегда актуальный виртуальный двойник является обязательным условием для выполнения рабочих заданий с помощью роботов.</t>
  </si>
  <si>
    <t>Автоматизация с помощью виртуальных двойников помогает горнодобывающему сектору ускорить изменения, которые необходимо внести для достижения глобальных целей в области устойчивого развития к 2030 году.</t>
  </si>
  <si>
    <t>Эти изменения должны трансформировать производство, процессы и оборудование на протяжении всего жизненного цикла, от проектирования, использования и окончания срока службы, а также людей и ресурсов.</t>
  </si>
  <si>
    <t>Наконец, горнодобывающая промышленность должна привлекать «цифровых аборигенов» с технологическим уклоном, для которых устойчивость и цифровая грамотность являются предпосылками, чтобы присоединиться к компании.</t>
  </si>
  <si>
    <t>Поскольку стареющие работники выходят на пенсию быстрее, чем компании могут их заменить, автоматизация задач является необходимым условием для управления компаниями с меньшим количеством сотрудников.</t>
  </si>
  <si>
    <t>Архитектура виртуальных близнецов делает это возможным, открывая двери карьеры для нового поколения профессионалов горнодобывающей промышленности, имеющих решающее значение для этой трансформации.</t>
  </si>
  <si>
    <t>Эта устойчивая, квалифицированная и гибкая рабочая сила находится в центре нашей следующей и заключительной части, в которой мы смотрим не только на автоматизацию отдельных задач, но и на автоматизацию сайта, используя виртуальных двойников и робототехнику для удаленного управления целыми процессами, парками и объектами.</t>
  </si>
  <si>
    <t>&lt;g id="i1"&gt;ВИРТУАЛЬНАЯ МОДЕЛЬ ДВОЙНОЙ ЗРЕЛОСТИ: полная автоматизация сайта достижима в наше время&lt;/g&gt;</t>
  </si>
  <si>
    <t>&lt;g id="i2"&gt;Энтони ДЖЕЙКОБС&lt;/g&gt;&lt;g id="i3"&gt;Сеть устойчивой добычи&lt;/g&gt;&lt;g id="i4"&gt;2021-08-04&lt;/g&gt;</t>
  </si>
  <si>
    <t>Майнеры осторожно и постепенно переходят на автоматизацию.</t>
  </si>
  <si>
    <t>Тем не менее, полная автоматизация сайта кажется привлекательной для отрасли.</t>
  </si>
  <si>
    <t>Rio Tinto запустила свою инициативу «Рудник будущего» в 2008 году, и к 2014 году компания перевезла 200 миллионов тонн с парком автономных горнодобывающих машин в отдаленный, богатый полезными ископаемыми регион Австралии Пилбара.</t>
  </si>
  <si>
    <t>Компания использует экскаваторы с дистанционным управлением, бульдозеры и буровые установки с дистанционным управлением для работы на неустойчивой местности на медном руднике Бингем-Каньон в Кеннекотте, штат Юта, недалеко от Солт-Лейк-Сити.</t>
  </si>
  <si>
    <t>В период с 2006 по 2016 год немецкий производитель компонентов Elektro-Elektronik Pranjic развернул более 60 комплектов передовых компонентов автоматического гидравлического управления для подземной добычи угля на шахте Таншань Гоу, управляемой China National Coal Group Corp.</t>
  </si>
  <si>
    <t>Исследовательская компания&lt;g id="i5"&gt;Mordor Intelligence&lt;/g&gt;прогнозирует, что рынок автоматизированного горнодобывающего оборудования вырастет на 35,38% с 2021 по 2026 год.</t>
  </si>
  <si>
    <t>Виртуальные платформы-близнецы обеспечивают рабочую среду с робототехникой, служащей связующим звеном между виртуальным и физическим мирами для управления процессами, парками и объектами.</t>
  </si>
  <si>
    <t>Resolute Mining называет свой автоматизированный подземный золотой рудник Syama в Мали «самой передовой системой автоматизации горных работ в мире».</t>
  </si>
  <si>
    <t>Бурение, погрузка и разгрузка, транспортировка и навигация грузовиков осуществляются автоматически благодаря оцифровке рудника, а также централизованному мониторингу и визуализации.</t>
  </si>
  <si>
    <t>Syama с самого начала создавалась как автоматизированная операция.</t>
  </si>
  <si>
    <t>Существующие шахты должны быть модернизированы, чтобы стать полностью автоматизированными.</t>
  </si>
  <si>
    <t>Полностью автономные горнодобывающие системы демонстрируют повышенную производительность, поскольку программное обеспечение управляет горными машинами, а операторы выступают в роли координаторов горных работ, которые выявляют ошибки и контролируют эффективность.</t>
  </si>
  <si>
    <t>В Центре автоматизации рудников Рио Тинто Сиднейского университета (RTCMA) исследователи разрабатывают алгоритмы восприятия, сенсорные технологии, машинное обучение и объединение данных, а также архитектуры операций, стохастической оптимизации и управления.</t>
  </si>
  <si>
    <t>Однако для превращения этой теоретической работы в полностью функциональную автоматизированную шахту требуется нечто большее, чем надежная магистраль передачи данных, передовая робототехника и блестящее программное обеспечение.</t>
  </si>
  <si>
    <t>Успех зависит от нового поколения «цифровых» профессионалов в горнодобывающей промышленности, которые облегчают работу роботов, интерпретируя информацию, непрерывно генерируемую полевыми датчиками и алгоритмами прогнозного моделирования.</t>
  </si>
  <si>
    <t>Виртуальный двойник является важным операционным инструментом, но будущее отрасли в конечном итоге зависит, как всегда, от людей и тщательного управления изменениями.</t>
  </si>
  <si>
    <t>Это важный посыл для отрасли со стареющей рабочей силой: автоматизация создает новые рабочие места.</t>
  </si>
  <si>
    <t>«Все горняки проходят технологический путь», - сказал Рику Пулли, вице-президент по автоматизации Sandvik Mining and Rock Technology, журналу&lt;g id="i6"&gt;Mining Technology&lt;/g&gt;в 2018 году.</t>
  </si>
  <si>
    <t>«Технологии и адаптивные технологии предоставляют прекрасную возможность обучить местных рабочих использовать оборудование так, как мы не могли делать в прошлом».</t>
  </si>
  <si>
    <t>&lt;g id="i1"&gt;ВИРТУАЛЬНАЯ МОДЕЛЬ ДВОЙНОЙ ЗРЕЛОСТИ: Производительность трансформируется за счет эффективного стратегического и оперативного планирования&lt;/g&gt;</t>
  </si>
  <si>
    <t>Энтони ДЖЕЙКОБС&lt;g id="i2"&gt;Сеть устойчивой добычи полезных ископаемых&lt;/g&gt;&lt;g id="i3"&gt;2021-07-21 - Отредактировано&lt;/g&gt;</t>
  </si>
  <si>
    <t>Цифровая нить связывает физический и виртуальный миры для единого представления, которое оптимизирует принятие решений и стратегию.</t>
  </si>
  <si>
    <t>В этом третьем выпуске нашей серии мы исследуем, как цифровая платформа используется для назначения, поддержки и отчетности о том, что делают люди и вещи.</t>
  </si>
  <si>
    <t>Это для стратегического, оперативного планирования и исполнения, и это эффективный способ повысить производительность.</t>
  </si>
  <si>
    <t>В то время как некоторые горнодобывающие компании оценивают, как запустить такие решения для «совместной работы цифровых работников» в своих собственных операциях, в других отраслях промышленности уже достигнут значительный успех в развертывании платформ оптимизации виртуальных двойников между планированием и исполнением.</t>
  </si>
  <si>
    <t>Почти десять лет назад компания AGCO, крупнейший в мире производитель тракторов и третий по величине поставщик сельскохозяйственной техники, внедрила платформу управления производственными операциями (MOM), которая собирает производственные данные в реальном времени, чтобы обеспечить быструю визуализацию всей производственной деятельности с возможностью детализации. до машинного уровня.</t>
  </si>
  <si>
    <t>На производственной информационной панели представлены ключевые показатели эффективности, которые постоянно обновляются для проверки руководством.</t>
  </si>
  <si>
    <t>Система автоматически фиксирует machine/production состояния (работа, время простоя, настройка).</t>
  </si>
  <si>
    <t>Система AGCO загружает рабочие задания из своей системы ERP, которые затем обновляются производственными данными, чтобы сформировать непрерывный цикл непрерывного улучшения.</t>
  </si>
  <si>
    <t>Компания AGCO практически сразу увидела ощутимые улучшения в производительности, эффективности, производительности и прибыльности.</t>
  </si>
  <si>
    <t>Компания задокументировала удвоение общего объема производства без снижения эффективности, что привело к увеличению прибыли.</t>
  </si>
  <si>
    <t>Благодаря повышенной прозрачности компания теперь может лучше распределять и использовать капитал, вложенный в оборудование.</t>
  </si>
  <si>
    <t>Стандартизированные, надежные и объективные данные о производительности процессов, такие как время производства, время настройки и непроизводственное время, позволяют лучше управлять ценным капиталом.</t>
  </si>
  <si>
    <t>Мониторинг, улучшение и ускорение процессов технического обслуживания машин сократило время простоя, что привело к снижению эксплуатационных расходов.</t>
  </si>
  <si>
    <t>Последовательный автоматизированный сбор данных обеспечивает большую прозрачность в цехе, что способствует устранению отходов и повышению производительности.</t>
  </si>
  <si>
    <t>Подобные платформы были реализованы во многих других производственных средах на заводе, но горнодобывающий сектор представляет собой уникальные проблемы.</t>
  </si>
  <si>
    <t>Горнодобывающая промышленность сталкивается с факторами, которых нет у производства, такими как геологическая неопределенность и непредсказуемые или экстремальные погодные условия.</t>
  </si>
  <si>
    <t>Технологии виртуальных двойников могут включать эти переменные, при этом позволяя операторам улучшать планирование, составление графиков и выполнение задач в зависимости от последовательности, времени, продолжительности, тонн, сорта, обслуживания, безопасности и соответствия нормативным требованиям.</t>
  </si>
  <si>
    <t>В горнодобывающем секторе были некоторые первые последователи.</t>
  </si>
  <si>
    <t>В 2016 году компания Anglo American реализовала операцию цифрового двойника для улучшения перевозок на своем участке Лос-Бронсес в Чили.</t>
  </si>
  <si>
    <t>К 2018 году Rio Tinto использовала цифрового двойника для моделирования своего перерабатывающего завода на новом «интеллектуальном руднике» компании в Кудайдери в Западной Австралии.</t>
  </si>
  <si>
    <t>В том же году на золотодобывающем и серебряном руднике Ban Houayxai в Лаосе был установлен алгоритм машинного обучения для прогнозирования будущих металлургических характеристик на основе предыдущих показателей производственного процесса.</t>
  </si>
  <si>
    <t>Сегодня рынки аккумуляторов расширяются, чтобы обслуживать растущее производство электромобилей (EV), а горняки наращивают производство цветных металлов для такого сырья, как литий, кобальт, алюминий и никель.</t>
  </si>
  <si>
    <t>Чтобы оптимизировать разработку горнодобывающих проектов и ускорить выход на рынок, горняки разрабатывают цифровые платформы оптимизации от планирования до исполнения на основе стратегического планирования горных работ и управления жизненным циклом разработки (ELM).</t>
  </si>
  <si>
    <t>Планировщики рассчитывают преобразовать процессы капитальных проектов и повысить производительность проекта с помощью расширенной аналитики для координации ресурсов.</t>
  </si>
  <si>
    <t>Новые платформы приведут к лучшему соблюдению плана с оперативным сообщением сайта о проблемах, вносящих изменения.</t>
  </si>
  <si>
    <t>Менеджеры смогут повысить эффективность исполнения с помощью информации, когда и где это необходимо, что приведет к улучшениям на всех сайтах.</t>
  </si>
  <si>
    <t>Это важно, потому что после проверки платформа может быть расширена за счет многих других операций компании по добыче полезных ископаемых и инфраструктуры на международном уровне, включая гидроэлектростанции и большую сеть железных дорог, судов и портов, используемых для транспортировки ее продукции.</t>
  </si>
  <si>
    <t>Глубокая трансформация бизнеса возможна в цифровой среде, потому что рядовые сотрудники и руководство имеют доступ к одной и той же информации.</t>
  </si>
  <si>
    <t>Это укрепляет доверие, уверенность и гибкость в рамках единого целостного процесса.</t>
  </si>
  <si>
    <t>В нашем следующем посте мы смотрим в будущее, в котором императивы всемирно признанных целей устойчивого развития могут быть достигнуты за счет автоматизации с помощью технологии виртуальных двойников.</t>
  </si>
  <si>
    <t>Наконец, когда операторы и персонал видят свой вклад в выполнение плана, их мотивация повышается.</t>
  </si>
  <si>
    <t>СТЕПЕНЬ ЗРЕЛОСТИ ВИРТУАЛЬНОГО ДВОЙНИКА: информация к действию для высшего руководства, менеджеров и персонала горнодобывающей компании</t>
  </si>
  <si>
    <t>&lt;g id="18"&gt;Автор: Антуан ЛАФОН-ДЕ-СЕНТЕНАК (Antoine LAFONT DE SENTENAC)&lt;/g&gt;&lt;g id="22" xid="79ad08b4-5b4a-4399-9474-969b52537e05"&gt;Социальная сеть по горному делу, отвечающему принципам устойчивого развития&lt;/g&gt;&lt;g id="31"&gt;Отредактировано 15.07.2021 г.&lt;/g&gt;</t>
  </si>
  <si>
    <t>&lt;g id="42" xid="33fd6cc8-fe28-4c47-8b19-b5e580996d1a"&gt;Во вводной публикации к этой серии из пяти статей&lt;/g&gt;&lt;g id="48"&gt; мы обсудили необходимость сбора данных из самых разных источников по всей организации в ходе процесса, называемого федерированием данных.&lt;/g&gt;</t>
  </si>
  <si>
    <t>Когда реализовано федерирование данных, позволяющее осуществлять  доступ ко всей информации вашей организации как к единому источнику данных, можно переходить к следующему этапу: цифровому потоку, среде, связывающей ранее раздельные движения данных и создающую единую картину по всем традиционно обособленным ракурсам на всем протяжении жизненных циклов активов и операций.</t>
  </si>
  <si>
    <t>Цифровой поток доставляет нужную информацию в нужное место в нужное время, позволяя осуществлять оптимизации на стратегическом уровне.</t>
  </si>
  <si>
    <t>Эффективный цифровой поток делает операционные данные наглядными, доступными для анализа и практически полезными для высшего руководства компании, руководства и сотрудников горнодобывающей компании.</t>
  </si>
  <si>
    <t>Видя более полную картину, не ограниченную рамками их узкой специализации, люди лучше понимают смысл своей работы.</t>
  </si>
  <si>
    <t>Цифровой поток — один из трех главных составных частей структуры виртуального двойника: физическое изделие в реальном мире, виртуальное изделие в виртуальном мире и связывающие реальный и виртуальный миры данные и информация.</t>
  </si>
  <si>
    <t>Они формируют "плодотворный цикл", точно отражающий действительное состояние вещей и позволяющий представить их развитие в будущем, на формализованной платформе получения действенной информации для принятия решений.</t>
  </si>
  <si>
    <t>Этот плодотворный цикл помогает принимать стратегические решения быстро и более эффективно, чем при традиционном обмене документами между разобщенными подразделениями с функциональной специализацией.</t>
  </si>
  <si>
    <t>Непрерывность связи между финансовыми допущениями (цены на сырье, стоимость энергоносителей и т.п.), геологической информацией, рельефом и оперативной производственной информацией обеспечивает согласованность и последовательность в планировании (от краткосрочного к долгосрочному и наоборот).</t>
  </si>
  <si>
    <t>Это позволяет избежать противоречий между решениями, одновременно воплощаемыми в жизнь в разных частях горнодобывающего предприятия, которые могут отрицательно сказаться на чистой приведенной стоимости предприятия.</t>
  </si>
  <si>
    <t>С помощью цифрового потока горняки могут визуализировать динамику операций по всему предприятию, сопоставляя данные от сети датчиков, предоставляющих информацию в различных контекстах, с моделями, используемыми для построения цифрового двойника.</t>
  </si>
  <si>
    <t>Интерфейс человек-машина в виде дополненной и виртуальной реальности или на мобильных устройствах дает различным специалистам нужную конкретно им информацию об оборудовании и процессах.</t>
  </si>
  <si>
    <t>В то же время, первичные данные посредством "умной" обработки преобразуются в аналитическую информацию, необходимую специалистам, руководителям смен и плановикам.</t>
  </si>
  <si>
    <t>Эта динамическая платформа связывает производственные, плановые и инженерно-технические данные.</t>
  </si>
  <si>
    <t>С помощью имитационного моделирования создается виртуальное представление операционной деятельности, которое дает плановикам возможность анализировать различные сценарии в постановке вопросов "а что, если".</t>
  </si>
  <si>
    <t>Эта возможность, в сочетании с вариативными расчетами, позволяет им реалистично тестировать различные варианты, максимально приближенные к реальной работе.</t>
  </si>
  <si>
    <t>В результате совершенствуется процесс принятия решений, и, благодаря обмену данными, а не документами, улучшается управление проектами.</t>
  </si>
  <si>
    <t>При подземных разработках необходимо постоянно обновлять технологические параметры в непрерывно изменяющейся среде.</t>
  </si>
  <si>
    <t>В виртуальном двойнике каждая единица оборудования имеет свое цифровое представление с присущими ей характеристиками.</t>
  </si>
  <si>
    <t>Цифровой поток распределяет наборы данных, собранные с помощью различных датчиков интернета вещей.</t>
  </si>
  <si>
    <t>В сфере составления план-графиков и управления работами критически важно иметь доступ к самой свежей информации.</t>
  </si>
  <si>
    <t>Это — единственный способ построения реалистичных планов.</t>
  </si>
  <si>
    <t>Наличие реалистичных планов способствует повышению выработки, сокращению отходов и оптимизации издержек.</t>
  </si>
  <si>
    <t>Вместе с тем, это обеспечивает достижение производственных целей и желаемого уровня качества.</t>
  </si>
  <si>
    <t>СТЕПЕНЬ ЗРЕЛОСТИ ВИРТУАЛЬНОГО ДВОЙНИКА: автоматизация задач для снижения рисков для человека</t>
  </si>
  <si>
    <t>В наших предыдущих публикациях мы обсудили использование виртуальных двойников для создания имитационных моделей, предназначенных для обучения, проверки альтернативных сценариев, а также для стратегического планирования и выполнения рабочих операций.</t>
  </si>
  <si>
    <t>Сейчас мы поговорим об автоматизации.</t>
  </si>
  <si>
    <t>Цифровой двойник создается на основе своего физического прообраза, поэтому они связаны.</t>
  </si>
  <si>
    <t>Следовательно, исходным физическим механизмом (системой) можно управлять с помощью цифровой платформы, на которой располагается его виртуальный двойник.</t>
  </si>
  <si>
    <t>Механизмами и оборудованием, которыми управляют люди, даже дистанционно, можно управлять в полностью автоматическом режиме с помощью алгоритмов, прокладывающих маршруты, рассчитывающих время и определяющих, как конкретный элемент оборудования используется для выполнения работы.</t>
  </si>
  <si>
    <t>В некоторых секторах горнодобывающей промышленности автоматизация уже началась.</t>
  </si>
  <si>
    <t>Уже многие годы на большинстве австралийских горнодобывающих предприятий люди управляют локомотивами и откаточными машинами из удаленных центров управления.</t>
  </si>
  <si>
    <t>Благодаря автоматизации и робототехнике люди постепенно перестают выполнять механические работы в опасных условиях и перемещаются в более безопасные и привлекательные места, где могут более эффективно делать свою работу.</t>
  </si>
  <si>
    <t>Различные организации, например CSIRO, национально научное агентство Австралии, разрабатывают технологии цифровых двойников для горнодобывающей промышленности, которые делают дистанционное управление технологическими операциями более наглядными, создавая для операторов более реальное "ощущение присутствия".</t>
  </si>
  <si>
    <t>В таких технологиях соединяются технологии гибридной реальности и цифровых двойников, что обеспечивает совершенствование управления вне пределов прямой видимости.</t>
  </si>
  <si>
    <t>«Дистанционное управление операциями мы называем «человек в цикле автоматизации», поскольку, хотя автоматизация и изменяет роли людей в технологических операциях, присутствие человека необходимо, так как люди обладают творческим мышлением и могут реагировать на нештатные ситуации более эффективно",— рассказал на веб-сайте CSIRO Крейг Джеймс (Craig James), руководитель исследовательских проектов рабочей группы интеграции горных работ в компании Mine Processing Technologies.</t>
  </si>
  <si>
    <t>Эта возможность уменьшает необходимость присутствия человека в опасной обстановке и, тем самым, повышает безопасность горных работ.</t>
  </si>
  <si>
    <t>Технологии с эффектом присутствия, такие как дополненная реальность (AR) и виртуальная реальность (VR) улучшают управляемость ситуацией, позволяя людям глубже погрузиться в виртуальную среду, смоделированную на основе реальных данных и воспроизводящую реальные места проведения горных работ и технологические процессы в реальном времени.</t>
  </si>
  <si>
    <t>Автоматизация постановки задач на платформе виртуального двойника позволяет также повысить оперативность реагирования организации во всех цепочках создания стоимости благодаря поступлению данных в реальном времени.</t>
  </si>
  <si>
    <t>Любое тестирование можно выполнить с помощью имитационного моделирования, используя при этом виртуальные двойники реальной техники и оборудования.</t>
  </si>
  <si>
    <t>Данные, поступающие в режиме реального времени, можно непосредственно использовать для имитационного моделирования, проводимое в режиме с обратной связью.</t>
  </si>
  <si>
    <t>Планирование, инспекции и обучение можно с помощью виртуальных двойников перевести в виртуальную реальность, позволяющей мгновенно получить ценные сведения о том, как повысить эффективность и безопасность.</t>
  </si>
  <si>
    <t>Одновременно с этим, виртуальный двойник, всегда отражающий состояние дел в настоящий момент, — это необходимое условие для роботизации.</t>
  </si>
  <si>
    <t>Автоматизация на основе виртуальных двойников помогает горнодобывающей промышленности ускорить изменения, которые должны осуществиться в отрасли к 2030 г. для достижения поставленных целей устойчивого развития.</t>
  </si>
  <si>
    <t>Эти изменения должны преобразовать производство, технологические процессы и оборудование на протяжении всех жизненных циклов, от проектирования до использования и окончания срока службы, а также людей и ресурсы.</t>
  </si>
  <si>
    <t>Наконец, горнодобывающая промышленность должна привлекать к работе глубоко знающих эти технологии представителей "цифрового поколения", для которых компетентность в сфере устойчивого развития и в цифровых технологий станут обязательными требованиями при приеме на работу в компанию.</t>
  </si>
  <si>
    <t>Работники старшего возраста отходят от дел быстрее, чем компаниям удается найти из замену. Поэтому автоматизация становится необходимым условием для того, чтобы компания могла продолжать работу с меньшим количеством персонала.</t>
  </si>
  <si>
    <t>Архитектура виртуальных двойников делает это возможным, открывая двери для построение карьеры для представителей этого нового поколения специалистов горного дела, что очень важно для такой трансформации.</t>
  </si>
  <si>
    <t>Эти трудовые ресурсы, образованные, гибкие и приверженные принципам устойчивого развития, находятся в центре внимания нашей следующей и заключительной статьи, в которой мы перейдем от рассмотрения автоматизации отдельных задач к автоматизации рабочих площадок, использованию виртуальных двойников и робототехники для дистанционного управления технологическими процессами, машинным парком и производственными объектами в целом.</t>
  </si>
  <si>
    <t>&lt;g id="22"&gt;&lt;g id="18"&gt;Автор: Антуан ЛАФОН-ДЕ-СЕНТЕНАК (Antoine LAFONT DE SENTENAC)&lt;/g&gt;&lt;/g&gt;Социальная сеть по горному делу, отвечающему принципам устойчивого развития&lt;g id="37"&gt;29.07.2021 г.&lt;/g&gt;</t>
  </si>
  <si>
    <t>СТЕПЕНЬ ЗРЕЛОСТИ ВИРТУАЛЬНОГО ДВОЙНИКА: полная автоматизация уже достижима</t>
  </si>
  <si>
    <t>&lt;g id="18"&gt;Автор: &lt;/g&gt;&lt;g id="19" xid="808abf1e-303e-4483-9d9d-29ae0b873ff9"&gt;Энтони ДЖЕЙКОБС (Anthony JACOBS)&lt;/g&gt;&lt;g id="26" xid="f5d19841-2c5f-4e80-9a91-271e6e89e1c0"&gt;Социальная сеть по горному делу, отвечающему принципам устойчивого развития&lt;/g&gt;&lt;g id="35"&gt;04.08.2021 г.&lt;/g&gt;</t>
  </si>
  <si>
    <t>Горняки внедряют автоматизацию осторожно и постепенно.</t>
  </si>
  <si>
    <t>Тем не менее полная автоматизация рабочей площадки в этой отрасли выглядит весьма привлекательной и вполне реальной.</t>
  </si>
  <si>
    <t>В 2008 г. компания Рио Тинто положила начало инициативе "Рудник будущего", а уже к 2014 г. компания перевезла 200 миллионов тонн с помощью парка автономных карьерных грузовиков в богатом полезными ископаемыми удаленном австралийском регионе Пилбара.</t>
  </si>
  <si>
    <t>Компания эксплуатирует экскаваторы и бульдозеры с дистанционным управлением и телеуправляемые бурильные машины для бурения скважин для взрывных работ на нестабильном грунте на медном руднике Bingham Canyon в Кеннекотте, штат Юта, неподалеку от Солт-Лейк-Сити.</t>
  </si>
  <si>
    <t>В 2019 г. заработала первая полностью автоматизированная шахта компании Resolute Mining на коренном месторождении золота Сьяма в Мали.</t>
  </si>
  <si>
    <t>Платформы виртуальных двойников создают операционную среду, необходимую для эксплуатации роботов, и служат связующим звеном между виртуальным и физическим мирами, обеспечивая управление технологическими процессами, машинным парком и производственными объектами.</t>
  </si>
  <si>
    <t>Понятие "полная автоматизация" относится к автономному управлению одним или несколькими единицами горной техники.</t>
  </si>
  <si>
    <t>Роботизированные системы управляют всеми критически важными функциями горной техники, такими как зажигание, рулевое управление, трансмиссия, ускорение, торможение, управление ножами, самосвальными кузовами, ковшами и стрелами экскаваторов и т. д., и все это без участия оператора.</t>
  </si>
  <si>
    <t>Компания Resolute Mining называет свой автоматизированный подземный золотодобывающий рудник Сьяма в Мали "самой передовой системой автоматизации горных работ в мире".</t>
  </si>
  <si>
    <t>Бурение, загрузка и выгрузка самосвалов, транспортировка груза и вождение грузовиков автоматизированы посредством цифровизации рудника, централизованного контроля и визуализации.</t>
  </si>
  <si>
    <t>При создании рудника Сьяма с самого начала предусматривалась его эксплуатация в автоматическом режиме.</t>
  </si>
  <si>
    <t>Существующим рудникам для полной автоматизации необходимо переоснащение.</t>
  </si>
  <si>
    <t>Полностью автономные системы ведения горных работ отличаются более высокой производительностью, поскольку горной техникой управляет программное обеспечение, а операторы выполняют функции технического обеспечения, выявляя неисправности и ошибки в проведении работ и контролируют их эффективность.</t>
  </si>
  <si>
    <t>В центре автоматизации горных работ университета Сиднея (RTCMA) исследователи разрабатывают алгоритмы распознавания, сенсорные технологии, технологии машинного обучения и совместной обработки данных, а также технологические операции, стохастическою оптимизацию и структуру управления.</t>
  </si>
  <si>
    <t>Однако, для превращения теоретических исследований в полностью автоматизированное горнодобывающее предприятие нужно нечто большее, чем прочная основа для передачи данных, передовая робототехника и высококачественное программное обеспечение.</t>
  </si>
  <si>
    <t>Успех зависит от нового "цифрового поколения" специалистов горного дела, которые будут управлять работой роботов и интерпретировать информацию, непрерывно поступающую от датчиков в рабочей зоне и от прогностических алгоритмов моделирования.</t>
  </si>
  <si>
    <t>Виртуальные двойники — это чрезвычайно важный рабочий инструмент, но будущее отрасли в конечном счете, как это и было всегда, зависит от людей и продуманного управления изменениями.</t>
  </si>
  <si>
    <t>Это очень важные новости для отрасли, в которой рабочая сила стареет: автоматизация создает новые рабочие места.</t>
  </si>
  <si>
    <t>&lt;g id="136"&gt;"Все горняки проходят этот путь к технологиям,— сказал Рику Пулли (Riku Pulli), вице-президент по автоматизации компании Sandvik Mining and Rock Technology, журналу &lt;/g&gt;&lt;g id="155" xid="2ea483a9-09b0-41a0-aa1f-64f45c1a3764"&gt;Mining Technology&lt;/g&gt;&lt;g id="161"&gt; в 2018 г.,—&lt;/g&gt;</t>
  </si>
  <si>
    <t>Технологии и адаптивные технологии открывают широкие возможности для обучения местных рабочих таким способам использования оборудования, которые мы не могли применять в прошлом".</t>
  </si>
  <si>
    <t>Между 2006 и 2016 гг. немецкая компания Elektro-Elektronik Pranjic поставила более 60 комплектов современных автоматических систем с гидравлическим управлением для подземной добычи угля на месторождении Tang Shan Gou, эксплуатируемом компанией China National Coal Group Corp.</t>
  </si>
  <si>
    <t>Компания &lt;g id="79" xid="3bc6aa41-6d21-461a-9f75-499b84085838"&gt;Mordor Intelligence&lt;/g&gt;, занимающаяся исследованиями рынков, прогнозирует рост рынка автоматизированного горнодобывающего оборудования на 35,38 процентов с 2021 г. до 2026 г.</t>
  </si>
  <si>
    <t>&lt;g id="22"&gt;&lt;g id="18"&gt;Автор: Энтони ДЖЕЙКОБС (Anthony JACOBS)&lt;/g&gt;&lt;g id="21"&gt;Социальная сеть по горному делу, отвечающему принципам устойчивого развития&lt;/g&gt;&lt;/g&gt;&lt;g id="25"&gt;21.07.2021 г.&lt;/g&gt;</t>
  </si>
  <si>
    <t>Цифровой поток связывает физический и виртуальными миры, создавая единое видение, позволяющее улучшить принятие операционных и стратегических решений.</t>
  </si>
  <si>
    <t>Что дальше?</t>
  </si>
  <si>
    <t>Пока некоторые горнодобывающие компании только прорабатывают варианты внедрения таких решений для «совместной работы цифровых работников» в своей деятельности, в других отраслях промышленности уже наблюдается значительный успех внедрения платформ оптимизации планирования и управления на основе виртуального двойника.</t>
  </si>
  <si>
    <t>Почти десятилетие назад в компании AGCO, крупнейшем в мире производителе тракторов и третьем по размеру поставщике сельскохозяйственной техники, была внедрена платформа для управления производственными операциями Manufacturing Operations Management (MOM), которая регистрирует производственные данные в реальном времени и обеспечивает быстрое наглядное представление о всей производственной деятельности, и при этом предоставляет возможность детализации вплоть до уровня отдельного станка.</t>
  </si>
  <si>
    <t>Руководители теперь могут следить за ключевыми показателями операционной деятельности, которые отображаются на панели производственной информации и непрерывно обновляются.</t>
  </si>
  <si>
    <t>Система автоматически регистрирует состояние станков и производства (работа, простой, наладка).</t>
  </si>
  <si>
    <t>Система компании AGCO загружает заказ-наряды из системы планирования ресурсов предприятия (ERP), которые затем дополняются производственными данными, образуя цикл непрерывного совершенствования.</t>
  </si>
  <si>
    <t>Практически сразу в компании AGCO получили поддающиеся количественной оценке улучшения объемов выпуска, эффективности, производительности и прибыльности.</t>
  </si>
  <si>
    <t>Компания документально зафиксировала удвоение общего объема производства без снижения эффективности, что выразилось в увеличении нормы прибыли.</t>
  </si>
  <si>
    <t>Благодаря повышению прозрачности деятельности капитальные вложения в оборудование теперь выделяются и осваиваются более эффективно.</t>
  </si>
  <si>
    <t>Стандартизованные, надежные и объективные данные о технологических процессах, такие как производственное время, время настройки, непроизводительное время позволяют лучше распоряжаться финансовыми ресурсами.</t>
  </si>
  <si>
    <t>Контроль, совершенствование и ускорение технического обслуживания оборудования позволили сократить простои и снизить производственные издержки.</t>
  </si>
  <si>
    <t>Благодаря непрерывному автоматическому сбору данных была достигнута лучшая прослеживаемость работ в цехах, что способствовало исключению отходов и повышению производительности труда.</t>
  </si>
  <si>
    <t>Аналогичные платформы были внедрены на многих других производственных организациях на уровне цехов, но в горнодобывающей отрасли возникают уникальные, сложные задачи.</t>
  </si>
  <si>
    <t>Горнодобывающая промышленность сталкивается с условиями, которых нет в обрабатывающей отрасли, в частности геологической неопределенностью и непредсказуемостью, а также экстремальными погодными условиями.</t>
  </si>
  <si>
    <t>Технологии виртуальных двойников могут учитывать эти параметры и по-прежнему предоставляют операторам возможность совершенствовать планирование, составление графиков и выполнение задач в соответствии с требованиями к их последовательности, времени, продолжительности, объему, качеству, уровню технического обслуживания, безопасности и требованиям регулирующих органов.</t>
  </si>
  <si>
    <t>В горнодобывающей отрасли есть несколько организаций-первопроходцев.</t>
  </si>
  <si>
    <t>В 2016 г. компания Anglo American внедрила цифровой двойник с целью совершенствования грузоперевозок на своей рабочей площадке в Los Bronces (Чили).</t>
  </si>
  <si>
    <t>В 2018 г. компания Rio Tinto использовала цифровой двойник для моделирования обогатительной фабрики на своем новом «умном руднике» в Koodaideri (Западная Австралия).</t>
  </si>
  <si>
    <t>В том же году на руднике Ban Houayxai в Лаосе, где добывают золото и серебро, был установлен алгоритм машинного обучения для прогнозирования металлургических характеристик в зависимости от показателей работы обогатительной фабрики.</t>
  </si>
  <si>
    <t>В настоящее время рынок аккумуляторных батарей расширяется, чтобы удовлетворить потребности быстрорастущего производства электромобилей (EV), и горняки наращивают производство полиметаллов, необходимых для получения такого сырья, как литий, кобальт, алюминий и никель.</t>
  </si>
  <si>
    <t>С целью оптимизации разработки проектов горнодобывающих предприятий и ускорения выхода на рынок, горняки разрабатывают цифровые платформы для оптимизации всех процессов, от планирования до управления операционной деятельностью, на основе стратегического планирования добычи и управления жизненным циклом инженерных работ (ELM).</t>
  </si>
  <si>
    <t>Плановики надеются преобразовать процессы проектов с высокими капиталовложениями и достичь повышения производительности на таких проектах с помощью передовой аналитики, позволяющей лучше управлять ресурсами.</t>
  </si>
  <si>
    <t>В результате внедрения новых платформ реализация будет лучше соответствовать планам, а проблемы  производственных площадок будут становиться известными без промедления, что будет ускорять необходимые изменения.</t>
  </si>
  <si>
    <t>Получая информацию в нужное время и в нужном месте, руководители смогут совершенствовать эффективность реализации проектов, и это приведет к улучшению работы на всех рабочих площадках.</t>
  </si>
  <si>
    <t>Это важно, поскольку однажды проверенную платформу можно распространить на многие другие проекты  компании в области добычи и построения инфраструктуры в международном масштабе, в том числе на гидроэлектростанциях, обширной сети железных дорог, кораблях, в портах, через которые осуществляются перевозки ее продукции.</t>
  </si>
  <si>
    <t>В цифровой среде становится возможным глубокое преобразование бизнеса, поскольку рабочие и администрация имеют доступ к одной и той же информации.</t>
  </si>
  <si>
    <t>Это создает доверие, уверенность и придает гибкость благодаря единому, целостному процессу.</t>
  </si>
  <si>
    <t>В следующей статье мы заглянем в будущее, в котором признанные во всем мире важнейшие цели устойчивого развития становятся достижимыми с помощью автоматизации, в основе которой лежит технология виртуальных двойников.</t>
  </si>
  <si>
    <t>СТЕПЕНЬ ЗРЕЛОСТИ ВИРТУАЛЬНОГО ДВОЙНИКА: повышение производительности за счет эффективного стратегического и операционного планирования</t>
  </si>
  <si>
    <t>В этой третьей части нашей серии публикаций мы рассмотрим использование цифровой платформы для назначения людям и системам заданий, управления и отчетности по ним.</t>
  </si>
  <si>
    <t>Это важно для стратегического и операционного планирования и управления, и позволяет эффективно повышать производительность.</t>
  </si>
  <si>
    <t>ACR</t>
  </si>
  <si>
    <t>STL</t>
  </si>
  <si>
    <t>TRM</t>
  </si>
  <si>
    <t>IMP</t>
  </si>
  <si>
    <t>UGR</t>
  </si>
  <si>
    <t>NOC</t>
  </si>
  <si>
    <t>PRN</t>
  </si>
  <si>
    <t>PRF</t>
  </si>
  <si>
    <r>
      <t xml:space="preserve">В 2019 году на подземном золотом руднике Syama Resolute Mining в Мали началась </t>
    </r>
    <r>
      <rPr>
        <b/>
        <sz val="11"/>
        <color rgb="FFC00000"/>
        <rFont val="Calibri"/>
        <family val="2"/>
        <scheme val="minor"/>
      </rPr>
      <t>добыча первого в мире полностью автоматизированного рудника</t>
    </r>
    <r>
      <rPr>
        <sz val="11"/>
        <color theme="1"/>
        <rFont val="Calibri"/>
        <family val="2"/>
        <scheme val="minor"/>
      </rPr>
      <t>.</t>
    </r>
  </si>
  <si>
    <r>
      <t xml:space="preserve">Компания управляет экскаваторами, дозерами и </t>
    </r>
    <r>
      <rPr>
        <b/>
        <sz val="11"/>
        <color rgb="FFC00000"/>
        <rFont val="Calibri"/>
        <family val="2"/>
        <scheme val="minor"/>
      </rPr>
      <t>дистанционными взрывными отверстиями</t>
    </r>
    <r>
      <rPr>
        <sz val="11"/>
        <color theme="1"/>
        <rFont val="Calibri"/>
        <family val="2"/>
        <scheme val="minor"/>
      </rPr>
      <t xml:space="preserve"> для работы на нестабильной местности на медном руднике Bingham Canyon в Кеннекотт, штат Юта, недалеко от Солт-Лейк-Сити.</t>
    </r>
  </si>
  <si>
    <r>
      <t xml:space="preserve">Виртуальные двойные платформы </t>
    </r>
    <r>
      <rPr>
        <b/>
        <sz val="11"/>
        <color rgb="FFC00000"/>
        <rFont val="Calibri"/>
        <family val="2"/>
        <scheme val="minor"/>
      </rPr>
      <t xml:space="preserve">обеспечивают оперативную среду робототехникой, служащей связующим звеном </t>
    </r>
    <r>
      <rPr>
        <sz val="11"/>
        <color theme="1"/>
        <rFont val="Calibri"/>
        <family val="2"/>
        <scheme val="minor"/>
      </rPr>
      <t>между виртуальным и физическим мирами для управления процессами, парками и объектами.</t>
    </r>
  </si>
  <si>
    <r>
      <rPr>
        <b/>
        <sz val="11"/>
        <color rgb="FFC00000"/>
        <rFont val="Calibri"/>
        <family val="2"/>
        <scheme val="minor"/>
      </rPr>
      <t xml:space="preserve">Под полной автоматизацией понимается автономное управление одним или несколькими </t>
    </r>
    <r>
      <rPr>
        <sz val="11"/>
        <color theme="1"/>
        <rFont val="Calibri"/>
        <family val="2"/>
        <scheme val="minor"/>
      </rPr>
      <t>горными транспортными средствами.</t>
    </r>
  </si>
  <si>
    <r>
      <rPr>
        <b/>
        <sz val="11"/>
        <color rgb="FFC00000"/>
        <rFont val="Calibri"/>
        <family val="2"/>
        <scheme val="minor"/>
      </rPr>
      <t xml:space="preserve">Полная автоматизация - это автономное управление одной или несколькими </t>
    </r>
    <r>
      <rPr>
        <sz val="11"/>
        <color theme="1"/>
        <rFont val="Calibri"/>
        <family val="2"/>
        <scheme val="minor"/>
      </rPr>
      <t>карьерными машинами.</t>
    </r>
  </si>
  <si>
    <r>
      <rPr>
        <b/>
        <sz val="11"/>
        <color rgb="FFC00000"/>
        <rFont val="Calibri"/>
        <family val="2"/>
        <scheme val="minor"/>
      </rPr>
      <t xml:space="preserve">Компоненты робота </t>
    </r>
    <r>
      <rPr>
        <sz val="11"/>
        <color theme="1"/>
        <rFont val="Calibri"/>
        <family val="2"/>
        <scheme val="minor"/>
      </rPr>
      <t>управляют всеми критически важными функциями транспортного средства, такими как зажигание, рулевое управление, трансмиссия, ускорение, торможение, управление отвалом, управление отвалом, ковш и стрела экскаватора и т. Д., Без необходимости вмешательства оператора.</t>
    </r>
  </si>
  <si>
    <t>TOTAL by 111 segments</t>
  </si>
  <si>
    <t>% of total 111 segments</t>
  </si>
  <si>
    <t>SEGS</t>
  </si>
  <si>
    <t>TOTAL of segments with scores 1,2,3 and 4</t>
  </si>
  <si>
    <t>% of segments with scores 1,2,3 and 4</t>
  </si>
  <si>
    <t>TOTAL of segments with scores &gt;4</t>
  </si>
  <si>
    <t>Segments that do not need editing</t>
  </si>
  <si>
    <t>Segments with minor errors (error penalty score &lt;5)</t>
  </si>
  <si>
    <t>Segments that need to be edited (error penalty score &gt;5)</t>
  </si>
  <si>
    <r>
      <t xml:space="preserve">&lt;g id="i4"&gt;In the opening post in this five-part series&lt;/g&gt;, we discussed the need to assemble data from various and diverse sources buried throughout an organization in a process called </t>
    </r>
    <r>
      <rPr>
        <b/>
        <sz val="11"/>
        <color rgb="FF0070C0"/>
        <rFont val="Calibri"/>
        <family val="2"/>
        <scheme val="minor"/>
      </rPr>
      <t>data federation</t>
    </r>
    <r>
      <rPr>
        <sz val="11"/>
        <color theme="1"/>
        <rFont val="Calibri"/>
        <family val="2"/>
        <scheme val="minor"/>
      </rPr>
      <t>.</t>
    </r>
  </si>
  <si>
    <r>
      <t xml:space="preserve">With data federation completed to access all your organization’s information, we talk here about the next stage: a digital thread, a </t>
    </r>
    <r>
      <rPr>
        <b/>
        <sz val="11"/>
        <color rgb="FF0070C0"/>
        <rFont val="Calibri"/>
        <family val="2"/>
        <scheme val="minor"/>
      </rPr>
      <t>framework</t>
    </r>
    <r>
      <rPr>
        <sz val="11"/>
        <color theme="1"/>
        <rFont val="Calibri"/>
        <family val="2"/>
        <scheme val="minor"/>
      </rPr>
      <t xml:space="preserve"> that connects data flow and integrates the view across traditionally siloed functional perspectives throughout the lifecycles of assets and operations.</t>
    </r>
  </si>
  <si>
    <r>
      <t xml:space="preserve">A </t>
    </r>
    <r>
      <rPr>
        <b/>
        <sz val="11"/>
        <color rgb="FF0070C0"/>
        <rFont val="Calibri"/>
        <family val="2"/>
        <scheme val="minor"/>
      </rPr>
      <t>digital thread</t>
    </r>
    <r>
      <rPr>
        <sz val="11"/>
        <color theme="1"/>
        <rFont val="Calibri"/>
        <family val="2"/>
        <scheme val="minor"/>
      </rPr>
      <t xml:space="preserve"> delivers the right information to the right place at the right time for strategy optimization.</t>
    </r>
  </si>
  <si>
    <r>
      <t xml:space="preserve">An effective digital thread makes operational data visible, analyzable, and actionable for </t>
    </r>
    <r>
      <rPr>
        <b/>
        <sz val="11"/>
        <color rgb="FF0070C0"/>
        <rFont val="Calibri"/>
        <family val="2"/>
        <scheme val="minor"/>
      </rPr>
      <t>executives</t>
    </r>
    <r>
      <rPr>
        <sz val="11"/>
        <color theme="1"/>
        <rFont val="Calibri"/>
        <family val="2"/>
        <scheme val="minor"/>
      </rPr>
      <t>, mine management, and frontline workers.</t>
    </r>
  </si>
  <si>
    <r>
      <t xml:space="preserve">This avoids having contradicting decisions implemented at the same time in different parts of the </t>
    </r>
    <r>
      <rPr>
        <b/>
        <sz val="11"/>
        <color rgb="FF0070C0"/>
        <rFont val="Calibri"/>
        <family val="2"/>
        <scheme val="minor"/>
      </rPr>
      <t>mine</t>
    </r>
    <r>
      <rPr>
        <sz val="11"/>
        <color theme="1"/>
        <rFont val="Calibri"/>
        <family val="2"/>
        <scheme val="minor"/>
      </rPr>
      <t>, which could hurt Net Present Value.</t>
    </r>
  </si>
  <si>
    <r>
      <t xml:space="preserve">With a digital thread, </t>
    </r>
    <r>
      <rPr>
        <b/>
        <sz val="11"/>
        <color rgb="FF0070C0"/>
        <rFont val="Calibri"/>
        <family val="2"/>
        <scheme val="minor"/>
      </rPr>
      <t>miner</t>
    </r>
    <r>
      <rPr>
        <sz val="11"/>
        <color theme="1"/>
        <rFont val="Calibri"/>
        <family val="2"/>
        <scheme val="minor"/>
      </rPr>
      <t>s can visualize the dynamic life of an operation through networks contextualizing sensor data into the models used to build a digital twin.</t>
    </r>
  </si>
  <si>
    <r>
      <rPr>
        <b/>
        <sz val="11"/>
        <color rgb="FF0070C0"/>
        <rFont val="Calibri"/>
        <family val="2"/>
        <scheme val="minor"/>
      </rPr>
      <t>Human/machine interface</t>
    </r>
    <r>
      <rPr>
        <sz val="11"/>
        <color theme="1"/>
        <rFont val="Calibri"/>
        <family val="2"/>
        <scheme val="minor"/>
      </rPr>
      <t>, whether AR/VR or mobile devices, provides workers of varying skills a view of the equipment or process that is meaningful to their specific function.</t>
    </r>
  </si>
  <si>
    <r>
      <t xml:space="preserve">Simulation provides a </t>
    </r>
    <r>
      <rPr>
        <b/>
        <sz val="11"/>
        <color rgb="FF0070C0"/>
        <rFont val="Calibri"/>
        <family val="2"/>
        <scheme val="minor"/>
      </rPr>
      <t>virtual view of operations</t>
    </r>
    <r>
      <rPr>
        <sz val="11"/>
        <color theme="1"/>
        <rFont val="Calibri"/>
        <family val="2"/>
        <scheme val="minor"/>
      </rPr>
      <t>, which enables planners to perform “what if” scenarios.</t>
    </r>
  </si>
  <si>
    <r>
      <t xml:space="preserve">The result is improved decision-making and improved </t>
    </r>
    <r>
      <rPr>
        <b/>
        <sz val="11"/>
        <color rgb="FF0070C0"/>
        <rFont val="Calibri"/>
        <family val="2"/>
        <scheme val="minor"/>
      </rPr>
      <t xml:space="preserve">project control </t>
    </r>
    <r>
      <rPr>
        <sz val="11"/>
        <color theme="1"/>
        <rFont val="Calibri"/>
        <family val="2"/>
        <scheme val="minor"/>
      </rPr>
      <t>through data rather than document exchange.</t>
    </r>
  </si>
  <si>
    <r>
      <t xml:space="preserve">In underground mining, there is a constant need to update </t>
    </r>
    <r>
      <rPr>
        <b/>
        <sz val="11"/>
        <color rgb="FF0070C0"/>
        <rFont val="Calibri"/>
        <family val="2"/>
        <scheme val="minor"/>
      </rPr>
      <t xml:space="preserve">operational parameters </t>
    </r>
    <r>
      <rPr>
        <sz val="11"/>
        <color theme="1"/>
        <rFont val="Calibri"/>
        <family val="2"/>
        <scheme val="minor"/>
      </rPr>
      <t>in an ever-changing environment.</t>
    </r>
  </si>
  <si>
    <r>
      <t xml:space="preserve">Because the digital twin is based on its </t>
    </r>
    <r>
      <rPr>
        <b/>
        <sz val="11"/>
        <color rgb="FF0070C0"/>
        <rFont val="Calibri"/>
        <family val="2"/>
        <scheme val="minor"/>
      </rPr>
      <t>physical alternate</t>
    </r>
    <r>
      <rPr>
        <sz val="11"/>
        <color theme="1"/>
        <rFont val="Calibri"/>
        <family val="2"/>
        <scheme val="minor"/>
      </rPr>
      <t>, they are connected.</t>
    </r>
  </si>
  <si>
    <r>
      <t xml:space="preserve">Automation in some </t>
    </r>
    <r>
      <rPr>
        <b/>
        <sz val="11"/>
        <color rgb="FF0070C0"/>
        <rFont val="Calibri"/>
        <family val="2"/>
        <scheme val="minor"/>
      </rPr>
      <t>mining sector</t>
    </r>
    <r>
      <rPr>
        <sz val="11"/>
        <color theme="1"/>
        <rFont val="Calibri"/>
        <family val="2"/>
        <scheme val="minor"/>
      </rPr>
      <t>s has already begun.</t>
    </r>
  </si>
  <si>
    <r>
      <t xml:space="preserve">People in remote-operations centers have been controlling locomotives and </t>
    </r>
    <r>
      <rPr>
        <b/>
        <sz val="11"/>
        <color rgb="FF0070C0"/>
        <rFont val="Calibri"/>
        <family val="2"/>
        <scheme val="minor"/>
      </rPr>
      <t>haulage truck</t>
    </r>
    <r>
      <rPr>
        <sz val="11"/>
        <color theme="1"/>
        <rFont val="Calibri"/>
        <family val="2"/>
        <scheme val="minor"/>
      </rPr>
      <t>s at major Australian mining operations for years.</t>
    </r>
  </si>
  <si>
    <r>
      <t xml:space="preserve">Automation and robotics are moving humans from </t>
    </r>
    <r>
      <rPr>
        <b/>
        <sz val="11"/>
        <color rgb="FF0070C0"/>
        <rFont val="Calibri"/>
        <family val="2"/>
        <scheme val="minor"/>
      </rPr>
      <t>low value-added task</t>
    </r>
    <r>
      <rPr>
        <sz val="11"/>
        <color theme="1"/>
        <rFont val="Calibri"/>
        <family val="2"/>
        <scheme val="minor"/>
      </rPr>
      <t>s in dangerous environments to safer, more desirable locations where they can do their jobs more effectively.</t>
    </r>
  </si>
  <si>
    <r>
      <t xml:space="preserve">Such technologies include the blending of </t>
    </r>
    <r>
      <rPr>
        <b/>
        <sz val="11"/>
        <color rgb="FF0070C0"/>
        <rFont val="Calibri"/>
        <family val="2"/>
        <scheme val="minor"/>
      </rPr>
      <t>mixed-reality</t>
    </r>
    <r>
      <rPr>
        <sz val="11"/>
        <color theme="1"/>
        <rFont val="Calibri"/>
        <family val="2"/>
        <scheme val="minor"/>
      </rPr>
      <t xml:space="preserve"> and digital-twin technology to enhance non-line-of-sight control.</t>
    </r>
  </si>
  <si>
    <r>
      <t>"We call remote operations '</t>
    </r>
    <r>
      <rPr>
        <b/>
        <sz val="11"/>
        <color rgb="FF0070C0"/>
        <rFont val="Calibri"/>
        <family val="2"/>
        <scheme val="minor"/>
      </rPr>
      <t>human-in-the loop-automation</t>
    </r>
    <r>
      <rPr>
        <sz val="11"/>
        <color theme="1"/>
        <rFont val="Calibri"/>
        <family val="2"/>
        <scheme val="minor"/>
      </rPr>
      <t>,' because even though automation is changing their roles, people are essential to operations as they’re a lot more creative and can respond to exceptional circumstances more effectively," Craig James, Senior Research Projects Officer for the Integrated Mining team in Mine Processing Technologies, said on CSIRO’s website.</t>
    </r>
  </si>
  <si>
    <r>
      <t xml:space="preserve">Immersive technologies such as augmented reality (AR) and virtual reality (VR) enhance </t>
    </r>
    <r>
      <rPr>
        <b/>
        <sz val="11"/>
        <color rgb="FF0070C0"/>
        <rFont val="Calibri"/>
        <family val="2"/>
        <scheme val="minor"/>
      </rPr>
      <t xml:space="preserve">situational awareness </t>
    </r>
    <r>
      <rPr>
        <sz val="11"/>
        <color theme="1"/>
        <rFont val="Calibri"/>
        <family val="2"/>
        <scheme val="minor"/>
      </rPr>
      <t>by positioning people deeper into virtual environments modelled with actual data that replicate physical mining locations and processes in real time.</t>
    </r>
  </si>
  <si>
    <r>
      <t xml:space="preserve">Live data can be used directly to feed </t>
    </r>
    <r>
      <rPr>
        <b/>
        <sz val="11"/>
        <color rgb="FF0070C0"/>
        <rFont val="Calibri"/>
        <family val="2"/>
        <scheme val="minor"/>
      </rPr>
      <t>simulation-in-the-loop</t>
    </r>
    <r>
      <rPr>
        <sz val="11"/>
        <color theme="1"/>
        <rFont val="Calibri"/>
        <family val="2"/>
        <scheme val="minor"/>
      </rPr>
      <t xml:space="preserve"> capabilities.</t>
    </r>
  </si>
  <si>
    <r>
      <t xml:space="preserve">Virtual twin architectures make this possible by opening </t>
    </r>
    <r>
      <rPr>
        <b/>
        <sz val="11"/>
        <color rgb="FF0070C0"/>
        <rFont val="Calibri"/>
        <family val="2"/>
        <scheme val="minor"/>
      </rPr>
      <t xml:space="preserve">career doors </t>
    </r>
    <r>
      <rPr>
        <sz val="11"/>
        <color theme="1"/>
        <rFont val="Calibri"/>
        <family val="2"/>
        <scheme val="minor"/>
      </rPr>
      <t>for this new generation of mining professionals crucial to this transformation.</t>
    </r>
  </si>
  <si>
    <r>
      <t xml:space="preserve">This sustainable, skilled, and flexible workforce lies at the center of our next and final installment, where we look beyond the automation of individual tasks to </t>
    </r>
    <r>
      <rPr>
        <b/>
        <sz val="11"/>
        <color rgb="FF0070C0"/>
        <rFont val="Calibri"/>
        <family val="2"/>
        <scheme val="minor"/>
      </rPr>
      <t xml:space="preserve">site </t>
    </r>
    <r>
      <rPr>
        <sz val="11"/>
        <color theme="1"/>
        <rFont val="Calibri"/>
        <family val="2"/>
        <scheme val="minor"/>
      </rPr>
      <t>automation, using virtual twins and robotics to remotely operate whole processes, fleets, and facilities.</t>
    </r>
  </si>
  <si>
    <r>
      <t>&lt;g id="i1"&gt;</t>
    </r>
    <r>
      <rPr>
        <b/>
        <sz val="11"/>
        <color rgb="FF0070C0"/>
        <rFont val="Calibri"/>
        <family val="2"/>
        <scheme val="minor"/>
      </rPr>
      <t>VIRTUAL TWIN</t>
    </r>
    <r>
      <rPr>
        <sz val="11"/>
        <color theme="1"/>
        <rFont val="Calibri"/>
        <family val="2"/>
        <scheme val="minor"/>
      </rPr>
      <t xml:space="preserve"> MATURITY MODEL: full site automation achievable in our time&lt;/g&gt;</t>
    </r>
  </si>
  <si>
    <r>
      <t>&lt;g id="i1"&gt;</t>
    </r>
    <r>
      <rPr>
        <b/>
        <sz val="11"/>
        <color rgb="FF0070C0"/>
        <rFont val="Calibri"/>
        <family val="2"/>
        <scheme val="minor"/>
      </rPr>
      <t>VIRTUAL TWIN</t>
    </r>
    <r>
      <rPr>
        <sz val="11"/>
        <color theme="1"/>
        <rFont val="Calibri"/>
        <family val="2"/>
        <scheme val="minor"/>
      </rPr>
      <t xml:space="preserve"> MATURITY MODEL: actionable information for executives, mine management, and frontline workers&lt;/g&gt;</t>
    </r>
  </si>
  <si>
    <r>
      <t xml:space="preserve">Nevertheless, full </t>
    </r>
    <r>
      <rPr>
        <b/>
        <sz val="11"/>
        <color rgb="FF0070C0"/>
        <rFont val="Calibri"/>
        <family val="2"/>
        <scheme val="minor"/>
      </rPr>
      <t xml:space="preserve">site </t>
    </r>
    <r>
      <rPr>
        <sz val="11"/>
        <color theme="1"/>
        <rFont val="Calibri"/>
        <family val="2"/>
        <scheme val="minor"/>
      </rPr>
      <t>automation appears enticingly within the industry’s reach.</t>
    </r>
  </si>
  <si>
    <r>
      <t xml:space="preserve">The company operates </t>
    </r>
    <r>
      <rPr>
        <b/>
        <sz val="11"/>
        <color rgb="FF0070C0"/>
        <rFont val="Calibri"/>
        <family val="2"/>
        <scheme val="minor"/>
      </rPr>
      <t>remote control excavator</t>
    </r>
    <r>
      <rPr>
        <sz val="11"/>
        <color theme="1"/>
        <rFont val="Calibri"/>
        <family val="2"/>
        <scheme val="minor"/>
      </rPr>
      <t xml:space="preserve">s, </t>
    </r>
    <r>
      <rPr>
        <b/>
        <sz val="11"/>
        <color rgb="FF0070C0"/>
        <rFont val="Calibri"/>
        <family val="2"/>
        <scheme val="minor"/>
      </rPr>
      <t>dozer</t>
    </r>
    <r>
      <rPr>
        <sz val="11"/>
        <color theme="1"/>
        <rFont val="Calibri"/>
        <family val="2"/>
        <scheme val="minor"/>
      </rPr>
      <t xml:space="preserve">s and </t>
    </r>
    <r>
      <rPr>
        <b/>
        <sz val="11"/>
        <color rgb="FF0070C0"/>
        <rFont val="Calibri"/>
        <family val="2"/>
        <scheme val="minor"/>
      </rPr>
      <t>tele-remote blast hole drill</t>
    </r>
    <r>
      <rPr>
        <sz val="11"/>
        <color theme="1"/>
        <rFont val="Calibri"/>
        <family val="2"/>
        <scheme val="minor"/>
      </rPr>
      <t xml:space="preserve">s to work on </t>
    </r>
    <r>
      <rPr>
        <b/>
        <sz val="11"/>
        <color rgb="FF0070C0"/>
        <rFont val="Calibri"/>
        <family val="2"/>
        <scheme val="minor"/>
      </rPr>
      <t>unstable terrain</t>
    </r>
    <r>
      <rPr>
        <sz val="11"/>
        <color theme="1"/>
        <rFont val="Calibri"/>
        <family val="2"/>
        <scheme val="minor"/>
      </rPr>
      <t xml:space="preserve"> at its Bingham Canyon copper mine in Kennecott, Utah, near Salt Lake City.</t>
    </r>
  </si>
  <si>
    <r>
      <t xml:space="preserve">In 2019, the world’s first </t>
    </r>
    <r>
      <rPr>
        <b/>
        <sz val="11"/>
        <color rgb="FF0070C0"/>
        <rFont val="Calibri"/>
        <family val="2"/>
        <scheme val="minor"/>
      </rPr>
      <t>fully automated mine</t>
    </r>
    <r>
      <rPr>
        <sz val="11"/>
        <color theme="1"/>
        <rFont val="Calibri"/>
        <family val="2"/>
        <scheme val="minor"/>
      </rPr>
      <t xml:space="preserve"> began production at Resolute Mining’s Syama underground gold mine in Mali.</t>
    </r>
  </si>
  <si>
    <r>
      <t xml:space="preserve">Robotic components manage all critical vehicle functions such as ignition, steering, transmission, acceleration, braking, blade control, </t>
    </r>
    <r>
      <rPr>
        <b/>
        <sz val="11"/>
        <color rgb="FF0070C0"/>
        <rFont val="Calibri"/>
        <family val="2"/>
        <scheme val="minor"/>
      </rPr>
      <t>dump bed control</t>
    </r>
    <r>
      <rPr>
        <sz val="11"/>
        <color theme="1"/>
        <rFont val="Calibri"/>
        <family val="2"/>
        <scheme val="minor"/>
      </rPr>
      <t xml:space="preserve">, </t>
    </r>
    <r>
      <rPr>
        <b/>
        <sz val="11"/>
        <color rgb="FF0070C0"/>
        <rFont val="Calibri"/>
        <family val="2"/>
        <scheme val="minor"/>
      </rPr>
      <t xml:space="preserve">excavator bucket </t>
    </r>
    <r>
      <rPr>
        <sz val="11"/>
        <rFont val="Calibri"/>
        <family val="2"/>
        <scheme val="minor"/>
      </rPr>
      <t xml:space="preserve">and </t>
    </r>
    <r>
      <rPr>
        <b/>
        <sz val="11"/>
        <color rgb="FF0070C0"/>
        <rFont val="Calibri"/>
        <family val="2"/>
        <scheme val="minor"/>
      </rPr>
      <t>boom</t>
    </r>
    <r>
      <rPr>
        <sz val="11"/>
        <color theme="1"/>
        <rFont val="Calibri"/>
        <family val="2"/>
        <scheme val="minor"/>
      </rPr>
      <t>, etc., without the need for operator intervention.</t>
    </r>
  </si>
  <si>
    <r>
      <t xml:space="preserve">Drilling, loading and </t>
    </r>
    <r>
      <rPr>
        <b/>
        <sz val="11"/>
        <color rgb="FF0070C0"/>
        <rFont val="Calibri"/>
        <family val="2"/>
        <scheme val="minor"/>
      </rPr>
      <t>dumping</t>
    </r>
    <r>
      <rPr>
        <sz val="11"/>
        <color theme="1"/>
        <rFont val="Calibri"/>
        <family val="2"/>
        <scheme val="minor"/>
      </rPr>
      <t>, haulage and truck navigation are automatic through mine digitalization and central monitoring and visualization.</t>
    </r>
  </si>
  <si>
    <r>
      <t xml:space="preserve">Syama was created as an </t>
    </r>
    <r>
      <rPr>
        <b/>
        <sz val="11"/>
        <color rgb="FF0070C0"/>
        <rFont val="Calibri"/>
        <family val="2"/>
        <scheme val="minor"/>
      </rPr>
      <t>automated operation</t>
    </r>
    <r>
      <rPr>
        <sz val="11"/>
        <color theme="1"/>
        <rFont val="Calibri"/>
        <family val="2"/>
        <scheme val="minor"/>
      </rPr>
      <t xml:space="preserve"> from the outset.</t>
    </r>
  </si>
  <si>
    <r>
      <t xml:space="preserve">Existing </t>
    </r>
    <r>
      <rPr>
        <b/>
        <sz val="11"/>
        <color rgb="FF0070C0"/>
        <rFont val="Calibri"/>
        <family val="2"/>
        <scheme val="minor"/>
      </rPr>
      <t>mine</t>
    </r>
    <r>
      <rPr>
        <sz val="11"/>
        <color theme="1"/>
        <rFont val="Calibri"/>
        <family val="2"/>
        <scheme val="minor"/>
      </rPr>
      <t>s must be retrofitted to become fully automated.</t>
    </r>
  </si>
  <si>
    <r>
      <t xml:space="preserve">Fully autonomous mining systems experience improved productivity because software controls mining vehicles, and operators act as mining </t>
    </r>
    <r>
      <rPr>
        <b/>
        <sz val="11"/>
        <color rgb="FF0070C0"/>
        <rFont val="Calibri"/>
        <family val="2"/>
        <scheme val="minor"/>
      </rPr>
      <t>facilitator</t>
    </r>
    <r>
      <rPr>
        <sz val="11"/>
        <color theme="1"/>
        <rFont val="Calibri"/>
        <family val="2"/>
        <scheme val="minor"/>
      </rPr>
      <t>s who troubleshoot errors and monitor efficiency.</t>
    </r>
  </si>
  <si>
    <r>
      <t xml:space="preserve">В Сиднейском университете Rio Tinto Centre for Mine Automation (RTCMA) исследователи разрабатывают алгоритмы восприятия, сенсорные технологии, машинное обучение и </t>
    </r>
    <r>
      <rPr>
        <b/>
        <sz val="11"/>
        <color rgb="FF0070C0"/>
        <rFont val="Calibri"/>
        <family val="2"/>
        <scheme val="minor"/>
      </rPr>
      <t>слияние данных</t>
    </r>
    <r>
      <rPr>
        <sz val="11"/>
        <color theme="1"/>
        <rFont val="Calibri"/>
        <family val="2"/>
        <scheme val="minor"/>
      </rPr>
      <t xml:space="preserve">, а также </t>
    </r>
    <r>
      <rPr>
        <b/>
        <sz val="11"/>
        <color rgb="FF0070C0"/>
        <rFont val="Calibri"/>
        <family val="2"/>
        <scheme val="minor"/>
      </rPr>
      <t>операции</t>
    </r>
    <r>
      <rPr>
        <sz val="11"/>
        <color theme="1"/>
        <rFont val="Calibri"/>
        <family val="2"/>
        <scheme val="minor"/>
      </rPr>
      <t>, стохастическую оптимизацию и архитектуру управления.</t>
    </r>
  </si>
  <si>
    <r>
      <t xml:space="preserve">Turning that theoretical work into a fully functional </t>
    </r>
    <r>
      <rPr>
        <b/>
        <sz val="11"/>
        <color rgb="FF0070C0"/>
        <rFont val="Calibri"/>
        <family val="2"/>
        <scheme val="minor"/>
      </rPr>
      <t>automated min</t>
    </r>
    <r>
      <rPr>
        <sz val="11"/>
        <color theme="1"/>
        <rFont val="Calibri"/>
        <family val="2"/>
        <scheme val="minor"/>
      </rPr>
      <t>e, however, requires more than a sturdy data communications backbone, advanced robotics, and brilliant software.</t>
    </r>
  </si>
  <si>
    <r>
      <t xml:space="preserve">Success depends on a new generation of </t>
    </r>
    <r>
      <rPr>
        <b/>
        <sz val="11"/>
        <color rgb="FF0070C0"/>
        <rFont val="Calibri"/>
        <family val="2"/>
        <scheme val="minor"/>
      </rPr>
      <t>“digital native” mining professionals</t>
    </r>
    <r>
      <rPr>
        <sz val="11"/>
        <color theme="1"/>
        <rFont val="Calibri"/>
        <family val="2"/>
        <scheme val="minor"/>
      </rPr>
      <t xml:space="preserve"> who facilitate the work robots do while interpreting information continuously generated by field sensors and predictive modeling algorithms.</t>
    </r>
  </si>
  <si>
    <r>
      <t xml:space="preserve">A virtual twin provides a critical </t>
    </r>
    <r>
      <rPr>
        <b/>
        <sz val="11"/>
        <color rgb="FF0070C0"/>
        <rFont val="Calibri"/>
        <family val="2"/>
        <scheme val="minor"/>
      </rPr>
      <t>operational tool</t>
    </r>
    <r>
      <rPr>
        <sz val="11"/>
        <color theme="1"/>
        <rFont val="Calibri"/>
        <family val="2"/>
        <scheme val="minor"/>
      </rPr>
      <t>, but the industry’s future ultimately depends, as it always has, on people and careful change management.</t>
    </r>
  </si>
  <si>
    <r>
      <t xml:space="preserve">That’s an important message for an industry with an </t>
    </r>
    <r>
      <rPr>
        <b/>
        <sz val="11"/>
        <color rgb="FF0070C0"/>
        <rFont val="Calibri"/>
        <family val="2"/>
        <scheme val="minor"/>
      </rPr>
      <t>aging work force</t>
    </r>
    <r>
      <rPr>
        <sz val="11"/>
        <color theme="1"/>
        <rFont val="Calibri"/>
        <family val="2"/>
        <scheme val="minor"/>
      </rPr>
      <t>: automation creates new jobs.</t>
    </r>
  </si>
  <si>
    <r>
      <t xml:space="preserve">While some mining companies are evaluating how to launch such “digital worker collaboration” solutions in their own operation, other industry sectors have already seen significant success deploying </t>
    </r>
    <r>
      <rPr>
        <b/>
        <sz val="11"/>
        <color rgb="FF0070C0"/>
        <rFont val="Calibri"/>
        <family val="2"/>
        <scheme val="minor"/>
      </rPr>
      <t>virtual twin planning-to-execution optimization platform</t>
    </r>
    <r>
      <rPr>
        <sz val="11"/>
        <color theme="1"/>
        <rFont val="Calibri"/>
        <family val="2"/>
        <scheme val="minor"/>
      </rPr>
      <t>s.</t>
    </r>
  </si>
  <si>
    <r>
      <t xml:space="preserve">Nearly a decade ago, AGCO, the world’s largest manufacturer of tractors and third largest supplier of agricultural machinery, implemented a Manufacturing Operations Management (MOM) platform which captures real-time production data to enable </t>
    </r>
    <r>
      <rPr>
        <b/>
        <sz val="11"/>
        <color rgb="FF0070C0"/>
        <rFont val="Calibri"/>
        <family val="2"/>
        <scheme val="minor"/>
      </rPr>
      <t>quick visibility</t>
    </r>
    <r>
      <rPr>
        <sz val="11"/>
        <color theme="1"/>
        <rFont val="Calibri"/>
        <family val="2"/>
        <scheme val="minor"/>
      </rPr>
      <t xml:space="preserve"> to all production activity with drill-down options to the machine level.</t>
    </r>
  </si>
  <si>
    <r>
      <t xml:space="preserve">A </t>
    </r>
    <r>
      <rPr>
        <b/>
        <sz val="11"/>
        <color rgb="FF0070C0"/>
        <rFont val="Calibri"/>
        <family val="2"/>
        <scheme val="minor"/>
      </rPr>
      <t xml:space="preserve">production dashboard </t>
    </r>
    <r>
      <rPr>
        <sz val="11"/>
        <color theme="1"/>
        <rFont val="Calibri"/>
        <family val="2"/>
        <scheme val="minor"/>
      </rPr>
      <t>provides key performance indicators which are updated continuously for management review.</t>
    </r>
  </si>
  <si>
    <r>
      <t>The system automatically captures machine/production states (</t>
    </r>
    <r>
      <rPr>
        <b/>
        <sz val="11"/>
        <color rgb="FF0070C0"/>
        <rFont val="Calibri"/>
        <family val="2"/>
        <scheme val="minor"/>
      </rPr>
      <t>running</t>
    </r>
    <r>
      <rPr>
        <sz val="11"/>
        <color theme="1"/>
        <rFont val="Calibri"/>
        <family val="2"/>
        <scheme val="minor"/>
      </rPr>
      <t>, downtime, set-up).</t>
    </r>
  </si>
  <si>
    <r>
      <t xml:space="preserve">AGCO saw measurable improvements almost immediately in throughput, efficiency, productivity, and </t>
    </r>
    <r>
      <rPr>
        <b/>
        <sz val="11"/>
        <color rgb="FF0070C0"/>
        <rFont val="Calibri"/>
        <family val="2"/>
        <scheme val="minor"/>
      </rPr>
      <t>margins</t>
    </r>
    <r>
      <rPr>
        <sz val="11"/>
        <color theme="1"/>
        <rFont val="Calibri"/>
        <family val="2"/>
        <scheme val="minor"/>
      </rPr>
      <t>.</t>
    </r>
  </si>
  <si>
    <r>
      <t xml:space="preserve">The company documented a doubling of overall production volume without a reduction in efficiency resulting in increased </t>
    </r>
    <r>
      <rPr>
        <b/>
        <sz val="11"/>
        <color rgb="FF0070C0"/>
        <rFont val="Calibri"/>
        <family val="2"/>
        <scheme val="minor"/>
      </rPr>
      <t>profit margin</t>
    </r>
    <r>
      <rPr>
        <sz val="11"/>
        <color theme="1"/>
        <rFont val="Calibri"/>
        <family val="2"/>
        <scheme val="minor"/>
      </rPr>
      <t>s.</t>
    </r>
  </si>
  <si>
    <r>
      <rPr>
        <b/>
        <sz val="11"/>
        <color rgb="FF0070C0"/>
        <rFont val="Calibri"/>
        <family val="2"/>
        <scheme val="minor"/>
      </rPr>
      <t>Consistent, automated data acquisition</t>
    </r>
    <r>
      <rPr>
        <sz val="11"/>
        <color theme="1"/>
        <rFont val="Calibri"/>
        <family val="2"/>
        <scheme val="minor"/>
      </rPr>
      <t xml:space="preserve"> provides greater transparency on the shop floor in support of waste elimination and performance improvements.</t>
    </r>
  </si>
  <si>
    <r>
      <t xml:space="preserve"> Virtual twin technologies can incorporate those variables while still enabling operators to improve planning, scheduling and execution of tasks based on sequence, time, duration, </t>
    </r>
    <r>
      <rPr>
        <b/>
        <sz val="11"/>
        <color rgb="FF0070C0"/>
        <rFont val="Calibri"/>
        <family val="2"/>
        <scheme val="minor"/>
      </rPr>
      <t>tons</t>
    </r>
    <r>
      <rPr>
        <sz val="11"/>
        <color theme="1"/>
        <rFont val="Calibri"/>
        <family val="2"/>
        <scheme val="minor"/>
      </rPr>
      <t xml:space="preserve">, </t>
    </r>
    <r>
      <rPr>
        <b/>
        <sz val="11"/>
        <color rgb="FF0070C0"/>
        <rFont val="Calibri"/>
        <family val="2"/>
        <scheme val="minor"/>
      </rPr>
      <t>grade</t>
    </r>
    <r>
      <rPr>
        <sz val="11"/>
        <color theme="1"/>
        <rFont val="Calibri"/>
        <family val="2"/>
        <scheme val="minor"/>
      </rPr>
      <t>, maintenance, safety, and regulatory compliance.</t>
    </r>
  </si>
  <si>
    <r>
      <t xml:space="preserve">Within the mining sector, there have been some </t>
    </r>
    <r>
      <rPr>
        <b/>
        <sz val="11"/>
        <color rgb="FF0070C0"/>
        <rFont val="Calibri"/>
        <family val="2"/>
        <scheme val="minor"/>
      </rPr>
      <t>early adopter</t>
    </r>
    <r>
      <rPr>
        <sz val="11"/>
        <color theme="1"/>
        <rFont val="Calibri"/>
        <family val="2"/>
        <scheme val="minor"/>
      </rPr>
      <t>s.</t>
    </r>
  </si>
  <si>
    <r>
      <t xml:space="preserve">That same year, the Ban Houayxai gold and silver mine in Laos had installed a machine-learning algorithm to predict future metallurgical characteristics based on previous </t>
    </r>
    <r>
      <rPr>
        <b/>
        <sz val="11"/>
        <color rgb="FF0070C0"/>
        <rFont val="Calibri"/>
        <family val="2"/>
        <scheme val="minor"/>
      </rPr>
      <t>process plant performance</t>
    </r>
    <r>
      <rPr>
        <sz val="11"/>
        <color theme="1"/>
        <rFont val="Calibri"/>
        <family val="2"/>
        <scheme val="minor"/>
      </rPr>
      <t>.</t>
    </r>
  </si>
  <si>
    <r>
      <t xml:space="preserve">To optimize </t>
    </r>
    <r>
      <rPr>
        <b/>
        <sz val="11"/>
        <color rgb="FF0070C0"/>
        <rFont val="Calibri"/>
        <family val="2"/>
        <scheme val="minor"/>
      </rPr>
      <t>mine projects development</t>
    </r>
    <r>
      <rPr>
        <sz val="11"/>
        <color theme="1"/>
        <rFont val="Calibri"/>
        <family val="2"/>
        <scheme val="minor"/>
      </rPr>
      <t>, and speed up go-to-market potential, miners are developing digital planning-to-execution optimization platforms around Strategic Mine Planning and Engineering Lifecycle Management (ELM).</t>
    </r>
  </si>
  <si>
    <r>
      <t xml:space="preserve">Planners expect to transform </t>
    </r>
    <r>
      <rPr>
        <b/>
        <sz val="11"/>
        <color rgb="FF0070C0"/>
        <rFont val="Calibri"/>
        <family val="2"/>
        <scheme val="minor"/>
      </rPr>
      <t>capital projects processes</t>
    </r>
    <r>
      <rPr>
        <sz val="11"/>
        <color theme="1"/>
        <rFont val="Calibri"/>
        <family val="2"/>
        <scheme val="minor"/>
      </rPr>
      <t xml:space="preserve"> and achieve higher project productivity with advanced analytics to coordinate resources.</t>
    </r>
  </si>
  <si>
    <r>
      <t xml:space="preserve">Managers will be able to improve the </t>
    </r>
    <r>
      <rPr>
        <b/>
        <sz val="11"/>
        <color rgb="FF0070C0"/>
        <rFont val="Calibri"/>
        <family val="2"/>
        <scheme val="minor"/>
      </rPr>
      <t xml:space="preserve">efficiency of execution </t>
    </r>
    <r>
      <rPr>
        <sz val="11"/>
        <color theme="1"/>
        <rFont val="Calibri"/>
        <family val="2"/>
        <scheme val="minor"/>
      </rPr>
      <t>with information when and where needed, leading to improvements across all sites.</t>
    </r>
  </si>
  <si>
    <t>XXX engine</t>
  </si>
  <si>
    <t>Levenstein XXX-Human</t>
  </si>
  <si>
    <t>Segment Penalty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</si>
</sst>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5" x14ac:knownFonts="1">
    <font>
      <sz val="11"/>
      <color theme="1"/>
      <name val="Calibri"/>
      <family val="2"/>
      <scheme val="minor"/>
    </font>
    <font>
      <b/>
      <sz val="11"/>
      <color theme="1"/>
      <name val="Calibri"/>
      <family val="2"/>
      <scheme val="minor"/>
    </font>
    <font>
      <b/>
      <sz val="11"/>
      <color rgb="FFC00000"/>
      <name val="Calibri"/>
      <family val="2"/>
      <scheme val="minor"/>
    </font>
    <font>
      <b/>
      <sz val="11"/>
      <color rgb="FF0070C0"/>
      <name val="Calibri"/>
      <family val="2"/>
      <scheme val="minor"/>
    </font>
    <font>
      <sz val="11"/>
      <name val="Calibri"/>
      <family val="2"/>
      <scheme val="minor"/>
    </font>
  </fonts>
  <fills count="2">
    <fill>
      <patternFill patternType="none"/>
    </fill>
    <fill>
      <patternFill patternType="gray125"/>
    </fill>
  </fills>
  <borders count="6">
    <border>
      <left/>
      <right/>
      <top/>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right style="medium">
        <color rgb="FFBFBFBF"/>
      </right>
      <top/>
      <bottom/>
      <diagonal/>
    </border>
  </borders>
  <cellStyleXfs count="1">
    <xf numFmtId="0" fontId="0" fillId="0" borderId="0"/>
  </cellStyleXfs>
  <cellXfs count="14">
    <xf numFmtId="0" fontId="0" fillId="0" borderId="0" xfId="0"/>
    <xf numFmtId="0" fontId="0" fillId="0" borderId="1" xfId="0"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5" xfId="0" applyFill="1" applyBorder="1" applyAlignment="1">
      <alignment vertical="center" wrapText="1"/>
    </xf>
    <xf numFmtId="0" fontId="1" fillId="0" borderId="5" xfId="0" applyFont="1" applyFill="1" applyBorder="1" applyAlignment="1">
      <alignment vertical="center" wrapText="1"/>
    </xf>
    <xf numFmtId="9" fontId="1" fillId="0" borderId="0" xfId="0" applyNumberFormat="1" applyFont="1"/>
    <xf numFmtId="0" fontId="1" fillId="0" borderId="0" xfId="0" applyFont="1"/>
    <xf numFmtId="0" fontId="0" fillId="0" borderId="0" xfId="0" applyFill="1" applyBorder="1" applyAlignment="1">
      <alignment vertical="center" wrapText="1"/>
    </xf>
    <xf numFmtId="0" fontId="3" fillId="0" borderId="0" xfId="0" applyFont="1"/>
    <xf numFmtId="164" fontId="2" fillId="0" borderId="0" xfId="0" applyNumberFormat="1" applyFont="1" applyFill="1" applyBorder="1" applyAlignment="1">
      <alignment vertical="center" wrapText="1"/>
    </xf>
    <xf numFmtId="165" fontId="0" fillId="0" borderId="0" xfId="0" applyNumberFormat="1"/>
    <xf numFmtId="0" fontId="0" fillId="0" borderId="0" xfId="0" applyBorder="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XXX engine quality profile</a:t>
            </a:r>
          </a:p>
          <a:p>
            <a:pPr>
              <a:defRPr/>
            </a:pPr>
            <a:r>
              <a:rPr lang="de-DE"/>
              <a:t>domain=CAD/CAM,</a:t>
            </a:r>
            <a:r>
              <a:rPr lang="de-DE" baseline="0"/>
              <a:t> EN-RU, 111 segments</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1-2914-4C33-8E7D-F2961E28A185}"/>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2914-4C33-8E7D-F2961E28A18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2914-4C33-8E7D-F2961E28A1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(scoring!$B$114,scoring!$B$116,scoring!$B$118)</c:f>
              <c:strCache>
                <c:ptCount val="3"/>
                <c:pt idx="0">
                  <c:v>Segments that do not need editing</c:v>
                </c:pt>
                <c:pt idx="1">
                  <c:v>Segments with minor errors (error penalty score &lt;5)</c:v>
                </c:pt>
                <c:pt idx="2">
                  <c:v>Segments that need to be edited (error penalty score &gt;5)</c:v>
                </c:pt>
              </c:strCache>
            </c:strRef>
          </c:cat>
          <c:val>
            <c:numRef>
              <c:f>(scoring!$C$114,scoring!$C$116,scoring!$C$118)</c:f>
              <c:numCache>
                <c:formatCode>0%</c:formatCode>
                <c:ptCount val="3"/>
                <c:pt idx="0">
                  <c:v>0.10810810810810811</c:v>
                </c:pt>
                <c:pt idx="1">
                  <c:v>0.31531531531531531</c:v>
                </c:pt>
                <c:pt idx="2">
                  <c:v>0.57657657657657657</c:v>
                </c:pt>
              </c:numCache>
            </c:numRef>
          </c:val>
          <c:extLst>
            <c:ext xmlns:c16="http://schemas.microsoft.com/office/drawing/2014/chart" uri="{C3380CC4-5D6E-409C-BE32-E72D297353CC}">
              <c16:uniqueId val="{00000000-6668-49B8-AA13-9D49FF60665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Google Translate quality profile</a:t>
            </a:r>
          </a:p>
          <a:p>
            <a:pPr>
              <a:defRPr/>
            </a:pPr>
            <a:r>
              <a:rPr lang="de-DE"/>
              <a:t>domain=CAD/CAM, EN-RU, 111 segments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543-457F-85E8-8B65033F620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543-457F-85E8-8B65033F620F}"/>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5543-457F-85E8-8B65033F62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(scoring!$B$114,scoring!$B$116,scoring!$B$118)</c:f>
              <c:strCache>
                <c:ptCount val="3"/>
                <c:pt idx="0">
                  <c:v>Segments that do not need editing</c:v>
                </c:pt>
                <c:pt idx="1">
                  <c:v>Segments with minor errors (error penalty score &lt;5)</c:v>
                </c:pt>
                <c:pt idx="2">
                  <c:v>Segments that need to be edited (error penalty score &gt;5)</c:v>
                </c:pt>
              </c:strCache>
            </c:strRef>
          </c:cat>
          <c:val>
            <c:numRef>
              <c:f>(scoring!$M$114,scoring!$M$116,scoring!$M$118)</c:f>
              <c:numCache>
                <c:formatCode>0%</c:formatCode>
                <c:ptCount val="3"/>
                <c:pt idx="0">
                  <c:v>0.10810810810810811</c:v>
                </c:pt>
                <c:pt idx="1">
                  <c:v>0.40540540540540543</c:v>
                </c:pt>
                <c:pt idx="2">
                  <c:v>0.48648648648648651</c:v>
                </c:pt>
              </c:numCache>
            </c:numRef>
          </c:val>
          <c:extLst>
            <c:ext xmlns:c16="http://schemas.microsoft.com/office/drawing/2014/chart" uri="{C3380CC4-5D6E-409C-BE32-E72D297353CC}">
              <c16:uniqueId val="{00000000-4004-4639-A9D3-72038173E1D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XXX </a:t>
            </a:r>
            <a:r>
              <a:rPr lang="de-DE" baseline="0"/>
              <a:t>Segment score vs Levenstein</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scoring!$W$2:$W$112</c:f>
              <c:numCache>
                <c:formatCode>General</c:formatCode>
                <c:ptCount val="111"/>
                <c:pt idx="0">
                  <c:v>18</c:v>
                </c:pt>
                <c:pt idx="1">
                  <c:v>8</c:v>
                </c:pt>
                <c:pt idx="2">
                  <c:v>8</c:v>
                </c:pt>
                <c:pt idx="3">
                  <c:v>12</c:v>
                </c:pt>
                <c:pt idx="4">
                  <c:v>4</c:v>
                </c:pt>
                <c:pt idx="5">
                  <c:v>6</c:v>
                </c:pt>
                <c:pt idx="6">
                  <c:v>4</c:v>
                </c:pt>
                <c:pt idx="7">
                  <c:v>4</c:v>
                </c:pt>
                <c:pt idx="8">
                  <c:v>4</c:v>
                </c:pt>
                <c:pt idx="9">
                  <c:v>2</c:v>
                </c:pt>
                <c:pt idx="10">
                  <c:v>2</c:v>
                </c:pt>
                <c:pt idx="11">
                  <c:v>8</c:v>
                </c:pt>
                <c:pt idx="12">
                  <c:v>6</c:v>
                </c:pt>
                <c:pt idx="13">
                  <c:v>8</c:v>
                </c:pt>
                <c:pt idx="14">
                  <c:v>12</c:v>
                </c:pt>
                <c:pt idx="15">
                  <c:v>2</c:v>
                </c:pt>
                <c:pt idx="16">
                  <c:v>8</c:v>
                </c:pt>
                <c:pt idx="17">
                  <c:v>12</c:v>
                </c:pt>
                <c:pt idx="18">
                  <c:v>4</c:v>
                </c:pt>
                <c:pt idx="19">
                  <c:v>4</c:v>
                </c:pt>
                <c:pt idx="20">
                  <c:v>6</c:v>
                </c:pt>
                <c:pt idx="21">
                  <c:v>4</c:v>
                </c:pt>
                <c:pt idx="22">
                  <c:v>4</c:v>
                </c:pt>
                <c:pt idx="23">
                  <c:v>0</c:v>
                </c:pt>
                <c:pt idx="24">
                  <c:v>0</c:v>
                </c:pt>
                <c:pt idx="25">
                  <c:v>0</c:v>
                </c:pt>
                <c:pt idx="26">
                  <c:v>3</c:v>
                </c:pt>
                <c:pt idx="27">
                  <c:v>8</c:v>
                </c:pt>
                <c:pt idx="28">
                  <c:v>8</c:v>
                </c:pt>
                <c:pt idx="29">
                  <c:v>2</c:v>
                </c:pt>
                <c:pt idx="30">
                  <c:v>0</c:v>
                </c:pt>
                <c:pt idx="31">
                  <c:v>8</c:v>
                </c:pt>
                <c:pt idx="32">
                  <c:v>0</c:v>
                </c:pt>
                <c:pt idx="33">
                  <c:v>8</c:v>
                </c:pt>
                <c:pt idx="34">
                  <c:v>4</c:v>
                </c:pt>
                <c:pt idx="35">
                  <c:v>8</c:v>
                </c:pt>
                <c:pt idx="36">
                  <c:v>8</c:v>
                </c:pt>
                <c:pt idx="37">
                  <c:v>8</c:v>
                </c:pt>
                <c:pt idx="38">
                  <c:v>16</c:v>
                </c:pt>
                <c:pt idx="39">
                  <c:v>14</c:v>
                </c:pt>
                <c:pt idx="40">
                  <c:v>6</c:v>
                </c:pt>
                <c:pt idx="41">
                  <c:v>10</c:v>
                </c:pt>
                <c:pt idx="42">
                  <c:v>2</c:v>
                </c:pt>
                <c:pt idx="43">
                  <c:v>2</c:v>
                </c:pt>
                <c:pt idx="44">
                  <c:v>8</c:v>
                </c:pt>
                <c:pt idx="45">
                  <c:v>8</c:v>
                </c:pt>
                <c:pt idx="46">
                  <c:v>20</c:v>
                </c:pt>
                <c:pt idx="47">
                  <c:v>4</c:v>
                </c:pt>
                <c:pt idx="48">
                  <c:v>2</c:v>
                </c:pt>
                <c:pt idx="49">
                  <c:v>12</c:v>
                </c:pt>
                <c:pt idx="50">
                  <c:v>12</c:v>
                </c:pt>
                <c:pt idx="51">
                  <c:v>8</c:v>
                </c:pt>
                <c:pt idx="52">
                  <c:v>8</c:v>
                </c:pt>
                <c:pt idx="53">
                  <c:v>8</c:v>
                </c:pt>
                <c:pt idx="54">
                  <c:v>8</c:v>
                </c:pt>
                <c:pt idx="55">
                  <c:v>2</c:v>
                </c:pt>
                <c:pt idx="56">
                  <c:v>16</c:v>
                </c:pt>
                <c:pt idx="57">
                  <c:v>8</c:v>
                </c:pt>
                <c:pt idx="58">
                  <c:v>16</c:v>
                </c:pt>
                <c:pt idx="59">
                  <c:v>8</c:v>
                </c:pt>
                <c:pt idx="60">
                  <c:v>4</c:v>
                </c:pt>
                <c:pt idx="61">
                  <c:v>0</c:v>
                </c:pt>
                <c:pt idx="62">
                  <c:v>16</c:v>
                </c:pt>
                <c:pt idx="63">
                  <c:v>16</c:v>
                </c:pt>
                <c:pt idx="64">
                  <c:v>16</c:v>
                </c:pt>
                <c:pt idx="65">
                  <c:v>4</c:v>
                </c:pt>
                <c:pt idx="66">
                  <c:v>10</c:v>
                </c:pt>
                <c:pt idx="67">
                  <c:v>12</c:v>
                </c:pt>
                <c:pt idx="68">
                  <c:v>6</c:v>
                </c:pt>
                <c:pt idx="69">
                  <c:v>10</c:v>
                </c:pt>
                <c:pt idx="70">
                  <c:v>8</c:v>
                </c:pt>
                <c:pt idx="71">
                  <c:v>8</c:v>
                </c:pt>
                <c:pt idx="72">
                  <c:v>14</c:v>
                </c:pt>
                <c:pt idx="73">
                  <c:v>2</c:v>
                </c:pt>
                <c:pt idx="74">
                  <c:v>8</c:v>
                </c:pt>
                <c:pt idx="75">
                  <c:v>6</c:v>
                </c:pt>
                <c:pt idx="76">
                  <c:v>2</c:v>
                </c:pt>
                <c:pt idx="77">
                  <c:v>10</c:v>
                </c:pt>
                <c:pt idx="78">
                  <c:v>12</c:v>
                </c:pt>
                <c:pt idx="79">
                  <c:v>0</c:v>
                </c:pt>
                <c:pt idx="80">
                  <c:v>4</c:v>
                </c:pt>
                <c:pt idx="81">
                  <c:v>0</c:v>
                </c:pt>
                <c:pt idx="82">
                  <c:v>8</c:v>
                </c:pt>
                <c:pt idx="83">
                  <c:v>6</c:v>
                </c:pt>
                <c:pt idx="84">
                  <c:v>8</c:v>
                </c:pt>
                <c:pt idx="85">
                  <c:v>4</c:v>
                </c:pt>
                <c:pt idx="86">
                  <c:v>4</c:v>
                </c:pt>
                <c:pt idx="87">
                  <c:v>2</c:v>
                </c:pt>
                <c:pt idx="88">
                  <c:v>4</c:v>
                </c:pt>
                <c:pt idx="89">
                  <c:v>4</c:v>
                </c:pt>
                <c:pt idx="90">
                  <c:v>4</c:v>
                </c:pt>
                <c:pt idx="91">
                  <c:v>4</c:v>
                </c:pt>
                <c:pt idx="92">
                  <c:v>2</c:v>
                </c:pt>
                <c:pt idx="93">
                  <c:v>0</c:v>
                </c:pt>
                <c:pt idx="94">
                  <c:v>8</c:v>
                </c:pt>
                <c:pt idx="95">
                  <c:v>2</c:v>
                </c:pt>
                <c:pt idx="96">
                  <c:v>4</c:v>
                </c:pt>
                <c:pt idx="97">
                  <c:v>8</c:v>
                </c:pt>
                <c:pt idx="98">
                  <c:v>8</c:v>
                </c:pt>
                <c:pt idx="99">
                  <c:v>6</c:v>
                </c:pt>
                <c:pt idx="100">
                  <c:v>4</c:v>
                </c:pt>
                <c:pt idx="101">
                  <c:v>8</c:v>
                </c:pt>
                <c:pt idx="102">
                  <c:v>8</c:v>
                </c:pt>
                <c:pt idx="103">
                  <c:v>8</c:v>
                </c:pt>
                <c:pt idx="104">
                  <c:v>4</c:v>
                </c:pt>
                <c:pt idx="105">
                  <c:v>8</c:v>
                </c:pt>
                <c:pt idx="106">
                  <c:v>10</c:v>
                </c:pt>
                <c:pt idx="107">
                  <c:v>8</c:v>
                </c:pt>
                <c:pt idx="108">
                  <c:v>4</c:v>
                </c:pt>
                <c:pt idx="109">
                  <c:v>0</c:v>
                </c:pt>
                <c:pt idx="110">
                  <c:v>6</c:v>
                </c:pt>
              </c:numCache>
            </c:numRef>
          </c:xVal>
          <c:yVal>
            <c:numRef>
              <c:f>scoring!$X$2:$X$112</c:f>
              <c:numCache>
                <c:formatCode>General</c:formatCode>
                <c:ptCount val="111"/>
                <c:pt idx="0">
                  <c:v>113</c:v>
                </c:pt>
                <c:pt idx="1">
                  <c:v>198</c:v>
                </c:pt>
                <c:pt idx="2">
                  <c:v>138</c:v>
                </c:pt>
                <c:pt idx="3">
                  <c:v>201</c:v>
                </c:pt>
                <c:pt idx="4">
                  <c:v>45</c:v>
                </c:pt>
                <c:pt idx="5">
                  <c:v>102</c:v>
                </c:pt>
                <c:pt idx="6">
                  <c:v>87</c:v>
                </c:pt>
                <c:pt idx="7">
                  <c:v>146</c:v>
                </c:pt>
                <c:pt idx="8">
                  <c:v>136</c:v>
                </c:pt>
                <c:pt idx="9">
                  <c:v>98</c:v>
                </c:pt>
                <c:pt idx="10">
                  <c:v>143</c:v>
                </c:pt>
                <c:pt idx="11">
                  <c:v>111</c:v>
                </c:pt>
                <c:pt idx="12">
                  <c:v>112</c:v>
                </c:pt>
                <c:pt idx="13">
                  <c:v>142</c:v>
                </c:pt>
                <c:pt idx="14">
                  <c:v>82</c:v>
                </c:pt>
                <c:pt idx="15">
                  <c:v>51</c:v>
                </c:pt>
                <c:pt idx="16">
                  <c:v>127</c:v>
                </c:pt>
                <c:pt idx="17">
                  <c:v>93</c:v>
                </c:pt>
                <c:pt idx="18">
                  <c:v>72</c:v>
                </c:pt>
                <c:pt idx="19">
                  <c:v>54</c:v>
                </c:pt>
                <c:pt idx="20">
                  <c:v>32</c:v>
                </c:pt>
                <c:pt idx="21">
                  <c:v>13</c:v>
                </c:pt>
                <c:pt idx="22">
                  <c:v>47</c:v>
                </c:pt>
                <c:pt idx="23">
                  <c:v>13</c:v>
                </c:pt>
                <c:pt idx="24">
                  <c:v>47</c:v>
                </c:pt>
                <c:pt idx="25">
                  <c:v>53</c:v>
                </c:pt>
                <c:pt idx="26">
                  <c:v>51</c:v>
                </c:pt>
                <c:pt idx="27">
                  <c:v>52</c:v>
                </c:pt>
                <c:pt idx="28">
                  <c:v>160</c:v>
                </c:pt>
                <c:pt idx="29">
                  <c:v>78</c:v>
                </c:pt>
                <c:pt idx="30">
                  <c:v>8</c:v>
                </c:pt>
                <c:pt idx="31">
                  <c:v>64</c:v>
                </c:pt>
                <c:pt idx="32">
                  <c:v>82</c:v>
                </c:pt>
                <c:pt idx="33">
                  <c:v>134</c:v>
                </c:pt>
                <c:pt idx="34">
                  <c:v>43</c:v>
                </c:pt>
                <c:pt idx="35">
                  <c:v>130</c:v>
                </c:pt>
                <c:pt idx="36">
                  <c:v>98</c:v>
                </c:pt>
                <c:pt idx="37">
                  <c:v>95</c:v>
                </c:pt>
                <c:pt idx="38">
                  <c:v>102</c:v>
                </c:pt>
                <c:pt idx="39">
                  <c:v>287</c:v>
                </c:pt>
                <c:pt idx="40">
                  <c:v>92</c:v>
                </c:pt>
                <c:pt idx="41">
                  <c:v>185</c:v>
                </c:pt>
                <c:pt idx="42">
                  <c:v>100</c:v>
                </c:pt>
                <c:pt idx="43">
                  <c:v>76</c:v>
                </c:pt>
                <c:pt idx="44">
                  <c:v>106</c:v>
                </c:pt>
                <c:pt idx="45">
                  <c:v>107</c:v>
                </c:pt>
                <c:pt idx="46">
                  <c:v>95</c:v>
                </c:pt>
                <c:pt idx="47">
                  <c:v>82</c:v>
                </c:pt>
                <c:pt idx="48">
                  <c:v>52</c:v>
                </c:pt>
                <c:pt idx="49">
                  <c:v>143</c:v>
                </c:pt>
                <c:pt idx="50">
                  <c:v>131</c:v>
                </c:pt>
                <c:pt idx="51">
                  <c:v>106</c:v>
                </c:pt>
                <c:pt idx="52">
                  <c:v>193</c:v>
                </c:pt>
                <c:pt idx="53">
                  <c:v>58</c:v>
                </c:pt>
                <c:pt idx="54">
                  <c:v>224</c:v>
                </c:pt>
                <c:pt idx="55">
                  <c:v>18</c:v>
                </c:pt>
                <c:pt idx="56">
                  <c:v>67</c:v>
                </c:pt>
                <c:pt idx="57">
                  <c:v>142</c:v>
                </c:pt>
                <c:pt idx="58">
                  <c:v>96</c:v>
                </c:pt>
                <c:pt idx="59">
                  <c:v>76</c:v>
                </c:pt>
                <c:pt idx="60">
                  <c:v>103</c:v>
                </c:pt>
                <c:pt idx="61">
                  <c:v>144</c:v>
                </c:pt>
                <c:pt idx="62">
                  <c:v>126</c:v>
                </c:pt>
                <c:pt idx="63">
                  <c:v>45</c:v>
                </c:pt>
                <c:pt idx="64">
                  <c:v>102</c:v>
                </c:pt>
                <c:pt idx="65">
                  <c:v>16</c:v>
                </c:pt>
                <c:pt idx="66">
                  <c:v>84</c:v>
                </c:pt>
                <c:pt idx="67">
                  <c:v>77</c:v>
                </c:pt>
                <c:pt idx="68">
                  <c:v>65</c:v>
                </c:pt>
                <c:pt idx="69">
                  <c:v>181</c:v>
                </c:pt>
                <c:pt idx="70">
                  <c:v>118</c:v>
                </c:pt>
                <c:pt idx="71">
                  <c:v>110</c:v>
                </c:pt>
                <c:pt idx="72">
                  <c:v>136</c:v>
                </c:pt>
                <c:pt idx="73">
                  <c:v>63</c:v>
                </c:pt>
                <c:pt idx="74">
                  <c:v>50</c:v>
                </c:pt>
                <c:pt idx="75">
                  <c:v>209</c:v>
                </c:pt>
                <c:pt idx="76">
                  <c:v>69</c:v>
                </c:pt>
                <c:pt idx="77">
                  <c:v>46</c:v>
                </c:pt>
                <c:pt idx="78">
                  <c:v>149</c:v>
                </c:pt>
                <c:pt idx="79">
                  <c:v>0</c:v>
                </c:pt>
                <c:pt idx="80">
                  <c:v>74</c:v>
                </c:pt>
                <c:pt idx="81">
                  <c:v>6</c:v>
                </c:pt>
                <c:pt idx="82">
                  <c:v>124</c:v>
                </c:pt>
                <c:pt idx="83">
                  <c:v>53</c:v>
                </c:pt>
                <c:pt idx="84">
                  <c:v>139</c:v>
                </c:pt>
                <c:pt idx="85">
                  <c:v>163</c:v>
                </c:pt>
                <c:pt idx="86">
                  <c:v>116</c:v>
                </c:pt>
                <c:pt idx="87">
                  <c:v>37</c:v>
                </c:pt>
                <c:pt idx="88">
                  <c:v>107</c:v>
                </c:pt>
                <c:pt idx="89">
                  <c:v>88</c:v>
                </c:pt>
                <c:pt idx="90">
                  <c:v>27</c:v>
                </c:pt>
                <c:pt idx="91">
                  <c:v>85</c:v>
                </c:pt>
                <c:pt idx="92">
                  <c:v>90</c:v>
                </c:pt>
                <c:pt idx="93">
                  <c:v>82</c:v>
                </c:pt>
                <c:pt idx="94">
                  <c:v>103</c:v>
                </c:pt>
                <c:pt idx="95">
                  <c:v>59</c:v>
                </c:pt>
                <c:pt idx="96">
                  <c:v>76</c:v>
                </c:pt>
                <c:pt idx="97">
                  <c:v>160</c:v>
                </c:pt>
                <c:pt idx="98">
                  <c:v>39</c:v>
                </c:pt>
                <c:pt idx="99">
                  <c:v>79</c:v>
                </c:pt>
                <c:pt idx="100">
                  <c:v>86</c:v>
                </c:pt>
                <c:pt idx="101">
                  <c:v>110</c:v>
                </c:pt>
                <c:pt idx="102">
                  <c:v>97</c:v>
                </c:pt>
                <c:pt idx="103">
                  <c:v>96</c:v>
                </c:pt>
                <c:pt idx="104">
                  <c:v>104</c:v>
                </c:pt>
                <c:pt idx="105">
                  <c:v>142</c:v>
                </c:pt>
                <c:pt idx="106">
                  <c:v>124</c:v>
                </c:pt>
                <c:pt idx="107">
                  <c:v>177</c:v>
                </c:pt>
                <c:pt idx="108">
                  <c:v>103</c:v>
                </c:pt>
                <c:pt idx="109">
                  <c:v>62</c:v>
                </c:pt>
                <c:pt idx="110">
                  <c:v>92</c:v>
                </c:pt>
              </c:numCache>
            </c:numRef>
          </c:yVal>
          <c:smooth val="0"/>
          <c:extLst>
            <c:ext xmlns:c16="http://schemas.microsoft.com/office/drawing/2014/chart" uri="{C3380CC4-5D6E-409C-BE32-E72D297353CC}">
              <c16:uniqueId val="{00000000-BF86-489E-A246-5B782FDA1033}"/>
            </c:ext>
          </c:extLst>
        </c:ser>
        <c:dLbls>
          <c:showLegendKey val="0"/>
          <c:showVal val="0"/>
          <c:showCatName val="0"/>
          <c:showSerName val="0"/>
          <c:showPercent val="0"/>
          <c:showBubbleSize val="0"/>
        </c:dLbls>
        <c:axId val="1865812623"/>
        <c:axId val="1865810543"/>
      </c:scatterChart>
      <c:valAx>
        <c:axId val="18658126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65810543"/>
        <c:crosses val="autoZero"/>
        <c:crossBetween val="midCat"/>
      </c:valAx>
      <c:valAx>
        <c:axId val="1865810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8658126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419099</xdr:colOff>
      <xdr:row>120</xdr:row>
      <xdr:rowOff>47623</xdr:rowOff>
    </xdr:from>
    <xdr:to>
      <xdr:col>7</xdr:col>
      <xdr:colOff>180974</xdr:colOff>
      <xdr:row>142</xdr:row>
      <xdr:rowOff>0</xdr:rowOff>
    </xdr:to>
    <xdr:graphicFrame macro="">
      <xdr:nvGraphicFramePr>
        <xdr:cNvPr id="3" name="Chart 2">
          <a:extLst>
            <a:ext uri="{FF2B5EF4-FFF2-40B4-BE49-F238E27FC236}">
              <a16:creationId xmlns:a16="http://schemas.microsoft.com/office/drawing/2014/main" id="{1D23F8C6-C4D7-4D1A-8D7B-9319765B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171449</xdr:colOff>
      <xdr:row>120</xdr:row>
      <xdr:rowOff>47624</xdr:rowOff>
    </xdr:from>
    <xdr:to>
      <xdr:col>11</xdr:col>
      <xdr:colOff>3686174</xdr:colOff>
      <xdr:row>141</xdr:row>
      <xdr:rowOff>190499</xdr:rowOff>
    </xdr:to>
    <xdr:graphicFrame macro="">
      <xdr:nvGraphicFramePr>
        <xdr:cNvPr id="4" name="Chart 3">
          <a:extLst>
            <a:ext uri="{FF2B5EF4-FFF2-40B4-BE49-F238E27FC236}">
              <a16:creationId xmlns:a16="http://schemas.microsoft.com/office/drawing/2014/main" id="{B2A3B371-CA61-4201-A18F-6AA4B4A55B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761999</xdr:colOff>
      <xdr:row>120</xdr:row>
      <xdr:rowOff>57149</xdr:rowOff>
    </xdr:from>
    <xdr:to>
      <xdr:col>23</xdr:col>
      <xdr:colOff>1219199</xdr:colOff>
      <xdr:row>140</xdr:row>
      <xdr:rowOff>28574</xdr:rowOff>
    </xdr:to>
    <xdr:graphicFrame macro="">
      <xdr:nvGraphicFramePr>
        <xdr:cNvPr id="6" name="Chart 5">
          <a:extLst>
            <a:ext uri="{FF2B5EF4-FFF2-40B4-BE49-F238E27FC236}">
              <a16:creationId xmlns:a16="http://schemas.microsoft.com/office/drawing/2014/main" id="{CEE561CA-D22F-4EF7-8DC5-7854D4CCB6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18"/>
  <sheetViews>
    <sheetView tabSelected="1" workbookViewId="0">
      <pane ySplit="1" topLeftCell="A2" activePane="bottomLeft" state="frozen"/>
      <selection pane="bottomLeft" activeCell="A2" sqref="A2"/>
    </sheetView>
  </sheetViews>
  <sheetFormatPr defaultRowHeight="15" x14ac:dyDescent="0.25"/>
  <cols>
    <col min="1" max="1" width="45.42578125" customWidth="1"/>
    <col min="2" max="2" width="58" customWidth="1"/>
    <col min="3" max="3" width="7.140625" bestFit="1" customWidth="1"/>
    <col min="4" max="4" width="5" customWidth="1"/>
    <col min="5" max="5" width="5.5703125" bestFit="1" customWidth="1"/>
    <col min="6" max="6" width="4.5703125" bestFit="1" customWidth="1"/>
    <col min="7" max="7" width="4.85546875" bestFit="1" customWidth="1"/>
    <col min="8" max="10" width="4.85546875" customWidth="1"/>
    <col min="11" max="11" width="5.28515625" bestFit="1" customWidth="1"/>
    <col min="12" max="12" width="55.5703125" customWidth="1"/>
    <col min="13" max="13" width="5" bestFit="1" customWidth="1"/>
    <col min="14" max="14" width="5" customWidth="1"/>
    <col min="15" max="16" width="4.5703125" bestFit="1" customWidth="1"/>
    <col min="17" max="17" width="4.85546875" bestFit="1" customWidth="1"/>
    <col min="18" max="20" width="4.85546875" customWidth="1"/>
    <col min="21" max="21" width="5.28515625" bestFit="1" customWidth="1"/>
    <col min="22" max="22" width="52.5703125" customWidth="1"/>
    <col min="23" max="23" width="21.7109375" bestFit="1" customWidth="1"/>
    <col min="24" max="24" width="21.85546875" bestFit="1" customWidth="1"/>
    <col min="25" max="25" width="21.42578125" customWidth="1"/>
  </cols>
  <sheetData>
    <row r="1" spans="1:24" ht="15.75" thickBot="1" x14ac:dyDescent="0.3">
      <c r="A1" t="s">
        <v>43</v>
      </c>
      <c r="B1" t="s">
        <v>459</v>
      </c>
      <c r="C1" t="s">
        <v>393</v>
      </c>
      <c r="D1" t="s">
        <v>394</v>
      </c>
      <c r="E1" t="s">
        <v>388</v>
      </c>
      <c r="F1" t="s">
        <v>389</v>
      </c>
      <c r="G1" s="10" t="s">
        <v>390</v>
      </c>
      <c r="H1" t="s">
        <v>391</v>
      </c>
      <c r="I1" t="s">
        <v>392</v>
      </c>
      <c r="J1" t="s">
        <v>395</v>
      </c>
      <c r="K1" t="s">
        <v>404</v>
      </c>
      <c r="L1" t="s">
        <v>172</v>
      </c>
      <c r="M1" t="s">
        <v>393</v>
      </c>
      <c r="N1" t="s">
        <v>394</v>
      </c>
      <c r="O1" t="s">
        <v>388</v>
      </c>
      <c r="P1" t="s">
        <v>389</v>
      </c>
      <c r="Q1" s="10" t="s">
        <v>390</v>
      </c>
      <c r="R1" t="s">
        <v>391</v>
      </c>
      <c r="S1" t="s">
        <v>392</v>
      </c>
      <c r="T1" t="s">
        <v>395</v>
      </c>
      <c r="U1" t="s">
        <v>404</v>
      </c>
      <c r="V1" t="s">
        <v>173</v>
      </c>
      <c r="W1" t="s">
        <v>461</v>
      </c>
      <c r="X1" t="s">
        <v>460</v>
      </c>
    </row>
    <row r="2" spans="1:24" ht="60.75" thickBot="1" x14ac:dyDescent="0.3">
      <c r="A2" s="1" t="s">
        <v>432</v>
      </c>
      <c r="B2" s="2" t="s">
        <v>0</v>
      </c>
      <c r="C2" s="2"/>
      <c r="D2" s="2"/>
      <c r="E2" s="2">
        <v>8</v>
      </c>
      <c r="F2" s="2">
        <v>2</v>
      </c>
      <c r="G2" s="2">
        <v>8</v>
      </c>
      <c r="H2" s="2"/>
      <c r="I2" s="2"/>
      <c r="J2" s="2"/>
      <c r="K2" s="2">
        <f>SUM(D2:J2)</f>
        <v>18</v>
      </c>
      <c r="L2" s="1" t="s">
        <v>174</v>
      </c>
      <c r="M2" s="2"/>
      <c r="N2" s="2"/>
      <c r="O2" s="2">
        <v>8</v>
      </c>
      <c r="P2" s="2">
        <v>2</v>
      </c>
      <c r="Q2" s="2">
        <v>8</v>
      </c>
      <c r="R2" s="2"/>
      <c r="S2" s="2"/>
      <c r="T2" s="2"/>
      <c r="U2" s="2">
        <f>SUM(N2:T2)</f>
        <v>18</v>
      </c>
      <c r="V2" s="1" t="s">
        <v>279</v>
      </c>
      <c r="W2" s="13">
        <f>K2</f>
        <v>18</v>
      </c>
      <c r="X2" s="13" cm="1">
        <f t="array" ref="X2">levdist(B2,V2)</f>
        <v>113</v>
      </c>
    </row>
    <row r="3" spans="1:24" ht="90.75" thickBot="1" x14ac:dyDescent="0.3">
      <c r="A3" s="3" t="s">
        <v>1</v>
      </c>
      <c r="B3" s="4" t="s">
        <v>2</v>
      </c>
      <c r="C3" s="4"/>
      <c r="D3" s="4"/>
      <c r="E3" s="4">
        <v>8</v>
      </c>
      <c r="F3" s="4"/>
      <c r="G3" s="4"/>
      <c r="H3" s="4"/>
      <c r="I3" s="4"/>
      <c r="J3" s="4"/>
      <c r="K3" s="2">
        <f t="shared" ref="K3:K66" si="0">SUM(D3:J3)</f>
        <v>8</v>
      </c>
      <c r="L3" s="3" t="s">
        <v>175</v>
      </c>
      <c r="M3" s="4"/>
      <c r="N3" s="4"/>
      <c r="O3" s="4">
        <v>8</v>
      </c>
      <c r="P3" s="4"/>
      <c r="Q3" s="4"/>
      <c r="R3" s="4"/>
      <c r="S3" s="4"/>
      <c r="T3" s="4"/>
      <c r="U3" s="2">
        <f t="shared" ref="U3:U66" si="1">SUM(N3:T3)</f>
        <v>8</v>
      </c>
      <c r="V3" s="3" t="s">
        <v>280</v>
      </c>
      <c r="W3" s="13">
        <f t="shared" ref="W3:W66" si="2">K3</f>
        <v>8</v>
      </c>
      <c r="X3" s="13" cm="1">
        <f t="array" ref="X3">levdist(B3,V3)</f>
        <v>198</v>
      </c>
    </row>
    <row r="4" spans="1:24" ht="90.75" thickBot="1" x14ac:dyDescent="0.3">
      <c r="A4" s="3" t="s">
        <v>411</v>
      </c>
      <c r="B4" s="4" t="s">
        <v>3</v>
      </c>
      <c r="C4" s="4"/>
      <c r="D4" s="4"/>
      <c r="E4" s="4"/>
      <c r="F4" s="4">
        <v>4</v>
      </c>
      <c r="G4" s="4">
        <v>4</v>
      </c>
      <c r="H4" s="4"/>
      <c r="I4" s="4"/>
      <c r="J4" s="4"/>
      <c r="K4" s="2">
        <f t="shared" si="0"/>
        <v>8</v>
      </c>
      <c r="L4" s="3" t="s">
        <v>176</v>
      </c>
      <c r="M4" s="4"/>
      <c r="N4" s="4"/>
      <c r="O4" s="4"/>
      <c r="P4" s="4">
        <v>8</v>
      </c>
      <c r="Q4" s="4">
        <v>4</v>
      </c>
      <c r="R4" s="4"/>
      <c r="S4" s="4"/>
      <c r="T4" s="4"/>
      <c r="U4" s="2">
        <f t="shared" si="1"/>
        <v>12</v>
      </c>
      <c r="V4" s="3" t="s">
        <v>281</v>
      </c>
      <c r="W4" s="13">
        <f t="shared" si="2"/>
        <v>8</v>
      </c>
      <c r="X4" s="13" cm="1">
        <f t="array" ref="X4">levdist(B4,V4)</f>
        <v>138</v>
      </c>
    </row>
    <row r="5" spans="1:24" ht="135.75" thickBot="1" x14ac:dyDescent="0.3">
      <c r="A5" s="3" t="s">
        <v>412</v>
      </c>
      <c r="B5" s="4" t="s">
        <v>4</v>
      </c>
      <c r="C5" s="4"/>
      <c r="D5" s="4"/>
      <c r="E5" s="3"/>
      <c r="F5" s="3">
        <v>8</v>
      </c>
      <c r="G5" s="3">
        <v>4</v>
      </c>
      <c r="H5" s="3"/>
      <c r="I5" s="3"/>
      <c r="J5" s="3"/>
      <c r="K5" s="2">
        <f t="shared" si="0"/>
        <v>12</v>
      </c>
      <c r="L5" s="3" t="s">
        <v>177</v>
      </c>
      <c r="M5" s="3"/>
      <c r="N5" s="3"/>
      <c r="O5" s="3"/>
      <c r="P5" s="3">
        <v>8</v>
      </c>
      <c r="Q5" s="3">
        <v>4</v>
      </c>
      <c r="R5" s="3"/>
      <c r="S5" s="3"/>
      <c r="T5" s="3"/>
      <c r="U5" s="2">
        <f t="shared" si="1"/>
        <v>12</v>
      </c>
      <c r="V5" s="3" t="s">
        <v>282</v>
      </c>
      <c r="W5" s="13">
        <f t="shared" si="2"/>
        <v>12</v>
      </c>
      <c r="X5" s="13" cm="1">
        <f t="array" ref="X5">levdist(B5,V5)</f>
        <v>201</v>
      </c>
    </row>
    <row r="6" spans="1:24" ht="45.75" thickBot="1" x14ac:dyDescent="0.3">
      <c r="A6" s="3" t="s">
        <v>413</v>
      </c>
      <c r="B6" s="4" t="s">
        <v>5</v>
      </c>
      <c r="C6" s="4"/>
      <c r="D6" s="4"/>
      <c r="E6" s="3"/>
      <c r="F6" s="3">
        <v>2</v>
      </c>
      <c r="G6" s="3">
        <v>2</v>
      </c>
      <c r="H6" s="3"/>
      <c r="I6" s="3"/>
      <c r="J6" s="3"/>
      <c r="K6" s="2">
        <f t="shared" si="0"/>
        <v>4</v>
      </c>
      <c r="L6" s="3" t="s">
        <v>178</v>
      </c>
      <c r="M6" s="3"/>
      <c r="N6" s="3"/>
      <c r="O6" s="3"/>
      <c r="P6" s="3">
        <v>4</v>
      </c>
      <c r="Q6" s="3">
        <v>4</v>
      </c>
      <c r="R6" s="3"/>
      <c r="S6" s="3"/>
      <c r="T6" s="3"/>
      <c r="U6" s="2">
        <f t="shared" si="1"/>
        <v>8</v>
      </c>
      <c r="V6" s="3" t="s">
        <v>283</v>
      </c>
      <c r="W6" s="13">
        <f t="shared" si="2"/>
        <v>4</v>
      </c>
      <c r="X6" s="13" cm="1">
        <f t="array" ref="X6">levdist(B6,V6)</f>
        <v>45</v>
      </c>
    </row>
    <row r="7" spans="1:24" ht="75.75" thickBot="1" x14ac:dyDescent="0.3">
      <c r="A7" s="3" t="s">
        <v>414</v>
      </c>
      <c r="B7" s="4" t="s">
        <v>6</v>
      </c>
      <c r="C7" s="4"/>
      <c r="D7" s="4"/>
      <c r="E7" s="3"/>
      <c r="F7" s="3">
        <v>4</v>
      </c>
      <c r="G7" s="3">
        <v>2</v>
      </c>
      <c r="H7" s="3"/>
      <c r="I7" s="3"/>
      <c r="J7" s="3"/>
      <c r="K7" s="2">
        <f t="shared" si="0"/>
        <v>6</v>
      </c>
      <c r="L7" s="3" t="s">
        <v>179</v>
      </c>
      <c r="M7" s="3"/>
      <c r="N7" s="3"/>
      <c r="O7" s="3"/>
      <c r="P7" s="3">
        <v>4</v>
      </c>
      <c r="Q7" s="3">
        <v>2</v>
      </c>
      <c r="R7" s="3"/>
      <c r="S7" s="3"/>
      <c r="T7" s="3"/>
      <c r="U7" s="2">
        <f t="shared" si="1"/>
        <v>6</v>
      </c>
      <c r="V7" s="3" t="s">
        <v>284</v>
      </c>
      <c r="W7" s="13">
        <f t="shared" si="2"/>
        <v>6</v>
      </c>
      <c r="X7" s="13" cm="1">
        <f t="array" ref="X7">levdist(B7,V7)</f>
        <v>102</v>
      </c>
    </row>
    <row r="8" spans="1:24" ht="45.75" thickBot="1" x14ac:dyDescent="0.3">
      <c r="A8" s="3" t="s">
        <v>7</v>
      </c>
      <c r="B8" s="4" t="s">
        <v>8</v>
      </c>
      <c r="C8" s="4"/>
      <c r="D8" s="4"/>
      <c r="E8" s="4"/>
      <c r="F8" s="4">
        <v>4</v>
      </c>
      <c r="G8" s="4"/>
      <c r="H8" s="4"/>
      <c r="I8" s="4"/>
      <c r="J8" s="4"/>
      <c r="K8" s="2">
        <f t="shared" si="0"/>
        <v>4</v>
      </c>
      <c r="L8" s="3" t="s">
        <v>180</v>
      </c>
      <c r="M8" s="3"/>
      <c r="N8" s="3"/>
      <c r="O8" s="3"/>
      <c r="P8" s="3">
        <v>2</v>
      </c>
      <c r="Q8" s="3"/>
      <c r="R8" s="3"/>
      <c r="S8" s="3"/>
      <c r="T8" s="3"/>
      <c r="U8" s="2">
        <f t="shared" si="1"/>
        <v>2</v>
      </c>
      <c r="V8" s="3" t="s">
        <v>285</v>
      </c>
      <c r="W8" s="13">
        <f t="shared" si="2"/>
        <v>4</v>
      </c>
      <c r="X8" s="13" cm="1">
        <f t="array" ref="X8">levdist(B8,V8)</f>
        <v>87</v>
      </c>
    </row>
    <row r="9" spans="1:24" ht="90.75" thickBot="1" x14ac:dyDescent="0.3">
      <c r="A9" s="3" t="s">
        <v>9</v>
      </c>
      <c r="B9" s="4" t="s">
        <v>10</v>
      </c>
      <c r="C9" s="4"/>
      <c r="D9" s="4"/>
      <c r="E9" s="4"/>
      <c r="F9" s="4">
        <v>4</v>
      </c>
      <c r="G9" s="4"/>
      <c r="H9" s="4"/>
      <c r="I9" s="4"/>
      <c r="J9" s="4"/>
      <c r="K9" s="2">
        <f t="shared" si="0"/>
        <v>4</v>
      </c>
      <c r="L9" s="3" t="s">
        <v>181</v>
      </c>
      <c r="M9" s="3"/>
      <c r="N9" s="3"/>
      <c r="O9" s="3"/>
      <c r="P9" s="3">
        <v>2</v>
      </c>
      <c r="Q9" s="3"/>
      <c r="R9" s="3"/>
      <c r="S9" s="3"/>
      <c r="T9" s="3"/>
      <c r="U9" s="2">
        <f t="shared" si="1"/>
        <v>2</v>
      </c>
      <c r="V9" s="3" t="s">
        <v>286</v>
      </c>
      <c r="W9" s="13">
        <f t="shared" si="2"/>
        <v>4</v>
      </c>
      <c r="X9" s="13" cm="1">
        <f t="array" ref="X9">levdist(B9,V9)</f>
        <v>146</v>
      </c>
    </row>
    <row r="10" spans="1:24" ht="90.75" thickBot="1" x14ac:dyDescent="0.3">
      <c r="A10" s="3" t="s">
        <v>11</v>
      </c>
      <c r="B10" s="4" t="s">
        <v>12</v>
      </c>
      <c r="C10" s="4"/>
      <c r="D10" s="4"/>
      <c r="E10" s="4"/>
      <c r="F10" s="4">
        <v>4</v>
      </c>
      <c r="G10" s="4"/>
      <c r="H10" s="4"/>
      <c r="I10" s="4"/>
      <c r="J10" s="4"/>
      <c r="K10" s="2">
        <f t="shared" si="0"/>
        <v>4</v>
      </c>
      <c r="L10" s="3" t="s">
        <v>182</v>
      </c>
      <c r="M10" s="3"/>
      <c r="N10" s="3"/>
      <c r="O10" s="3"/>
      <c r="P10" s="3">
        <v>4</v>
      </c>
      <c r="Q10" s="3"/>
      <c r="R10" s="3"/>
      <c r="S10" s="3"/>
      <c r="T10" s="3"/>
      <c r="U10" s="2">
        <f t="shared" si="1"/>
        <v>4</v>
      </c>
      <c r="V10" s="3" t="s">
        <v>287</v>
      </c>
      <c r="W10" s="13">
        <f t="shared" si="2"/>
        <v>4</v>
      </c>
      <c r="X10" s="13" cm="1">
        <f t="array" ref="X10">levdist(B10,V10)</f>
        <v>136</v>
      </c>
    </row>
    <row r="11" spans="1:24" ht="75.75" thickBot="1" x14ac:dyDescent="0.3">
      <c r="A11" s="3" t="s">
        <v>13</v>
      </c>
      <c r="B11" s="4" t="s">
        <v>14</v>
      </c>
      <c r="C11" s="4"/>
      <c r="D11" s="4"/>
      <c r="E11" s="4"/>
      <c r="F11" s="4">
        <v>2</v>
      </c>
      <c r="G11" s="4"/>
      <c r="H11" s="4"/>
      <c r="I11" s="4"/>
      <c r="J11" s="4"/>
      <c r="K11" s="2">
        <f t="shared" si="0"/>
        <v>2</v>
      </c>
      <c r="L11" s="3" t="s">
        <v>183</v>
      </c>
      <c r="M11" s="3"/>
      <c r="N11" s="3"/>
      <c r="O11" s="3"/>
      <c r="P11" s="3">
        <v>2</v>
      </c>
      <c r="Q11" s="3"/>
      <c r="R11" s="3"/>
      <c r="S11" s="3"/>
      <c r="T11" s="3"/>
      <c r="U11" s="2">
        <f t="shared" si="1"/>
        <v>2</v>
      </c>
      <c r="V11" s="3" t="s">
        <v>288</v>
      </c>
      <c r="W11" s="13">
        <f t="shared" si="2"/>
        <v>2</v>
      </c>
      <c r="X11" s="13" cm="1">
        <f t="array" ref="X11">levdist(B11,V11)</f>
        <v>98</v>
      </c>
    </row>
    <row r="12" spans="1:24" ht="105.75" thickBot="1" x14ac:dyDescent="0.3">
      <c r="A12" s="3" t="s">
        <v>15</v>
      </c>
      <c r="B12" s="4" t="s">
        <v>16</v>
      </c>
      <c r="C12" s="4"/>
      <c r="D12" s="4"/>
      <c r="E12" s="4"/>
      <c r="F12" s="4">
        <v>2</v>
      </c>
      <c r="G12" s="4"/>
      <c r="H12" s="4"/>
      <c r="I12" s="4"/>
      <c r="J12" s="4"/>
      <c r="K12" s="2">
        <f t="shared" si="0"/>
        <v>2</v>
      </c>
      <c r="L12" s="3" t="s">
        <v>184</v>
      </c>
      <c r="M12" s="3"/>
      <c r="N12" s="3"/>
      <c r="O12" s="3"/>
      <c r="P12" s="3">
        <v>4</v>
      </c>
      <c r="Q12" s="3"/>
      <c r="R12" s="3"/>
      <c r="S12" s="3"/>
      <c r="T12" s="3"/>
      <c r="U12" s="2">
        <f t="shared" si="1"/>
        <v>4</v>
      </c>
      <c r="V12" s="3" t="s">
        <v>289</v>
      </c>
      <c r="W12" s="13">
        <f t="shared" si="2"/>
        <v>2</v>
      </c>
      <c r="X12" s="13" cm="1">
        <f t="array" ref="X12">levdist(B12,V12)</f>
        <v>143</v>
      </c>
    </row>
    <row r="13" spans="1:24" ht="75.75" thickBot="1" x14ac:dyDescent="0.3">
      <c r="A13" s="3" t="s">
        <v>415</v>
      </c>
      <c r="B13" s="4" t="s">
        <v>17</v>
      </c>
      <c r="C13" s="4"/>
      <c r="D13" s="4"/>
      <c r="E13" s="4"/>
      <c r="F13" s="4">
        <v>4</v>
      </c>
      <c r="G13" s="4">
        <v>4</v>
      </c>
      <c r="H13" s="4"/>
      <c r="I13" s="4"/>
      <c r="J13" s="4"/>
      <c r="K13" s="2">
        <f t="shared" si="0"/>
        <v>8</v>
      </c>
      <c r="L13" s="3" t="s">
        <v>185</v>
      </c>
      <c r="M13" s="3"/>
      <c r="N13" s="3"/>
      <c r="O13" s="3">
        <v>2</v>
      </c>
      <c r="P13" s="3">
        <v>2</v>
      </c>
      <c r="Q13" s="3"/>
      <c r="R13" s="3"/>
      <c r="S13" s="3"/>
      <c r="T13" s="3"/>
      <c r="U13" s="2">
        <f t="shared" si="1"/>
        <v>4</v>
      </c>
      <c r="V13" s="3" t="s">
        <v>290</v>
      </c>
      <c r="W13" s="13">
        <f t="shared" si="2"/>
        <v>8</v>
      </c>
      <c r="X13" s="13" cm="1">
        <f t="array" ref="X13">levdist(B13,V13)</f>
        <v>111</v>
      </c>
    </row>
    <row r="14" spans="1:24" ht="90.75" thickBot="1" x14ac:dyDescent="0.3">
      <c r="A14" s="3" t="s">
        <v>416</v>
      </c>
      <c r="B14" s="4" t="s">
        <v>18</v>
      </c>
      <c r="C14" s="4"/>
      <c r="D14" s="4"/>
      <c r="E14" s="4"/>
      <c r="F14" s="4">
        <v>2</v>
      </c>
      <c r="G14" s="4">
        <v>4</v>
      </c>
      <c r="H14" s="4"/>
      <c r="I14" s="4"/>
      <c r="J14" s="4"/>
      <c r="K14" s="2">
        <f t="shared" si="0"/>
        <v>6</v>
      </c>
      <c r="L14" s="3" t="s">
        <v>186</v>
      </c>
      <c r="M14" s="3"/>
      <c r="N14" s="3"/>
      <c r="O14" s="3">
        <v>2</v>
      </c>
      <c r="P14" s="3">
        <v>8</v>
      </c>
      <c r="Q14" s="3">
        <v>4</v>
      </c>
      <c r="R14" s="3"/>
      <c r="S14" s="3"/>
      <c r="T14" s="3"/>
      <c r="U14" s="2">
        <f t="shared" si="1"/>
        <v>14</v>
      </c>
      <c r="V14" s="3" t="s">
        <v>291</v>
      </c>
      <c r="W14" s="13">
        <f t="shared" si="2"/>
        <v>6</v>
      </c>
      <c r="X14" s="13" cm="1">
        <f t="array" ref="X14">levdist(B14,V14)</f>
        <v>112</v>
      </c>
    </row>
    <row r="15" spans="1:24" ht="75.75" thickBot="1" x14ac:dyDescent="0.3">
      <c r="A15" s="3" t="s">
        <v>417</v>
      </c>
      <c r="B15" s="4" t="s">
        <v>19</v>
      </c>
      <c r="C15" s="4"/>
      <c r="D15" s="4"/>
      <c r="E15" s="4"/>
      <c r="F15" s="4">
        <v>4</v>
      </c>
      <c r="G15" s="4">
        <v>4</v>
      </c>
      <c r="H15" s="4"/>
      <c r="I15" s="4"/>
      <c r="J15" s="4"/>
      <c r="K15" s="2">
        <f t="shared" si="0"/>
        <v>8</v>
      </c>
      <c r="L15" s="3" t="s">
        <v>187</v>
      </c>
      <c r="M15" s="3"/>
      <c r="N15" s="3"/>
      <c r="O15" s="3"/>
      <c r="P15" s="3">
        <v>4</v>
      </c>
      <c r="Q15" s="3">
        <v>4</v>
      </c>
      <c r="R15" s="3"/>
      <c r="S15" s="3"/>
      <c r="T15" s="3"/>
      <c r="U15" s="2">
        <f t="shared" si="1"/>
        <v>8</v>
      </c>
      <c r="V15" s="3" t="s">
        <v>292</v>
      </c>
      <c r="W15" s="13">
        <f t="shared" si="2"/>
        <v>8</v>
      </c>
      <c r="X15" s="13" cm="1">
        <f t="array" ref="X15">levdist(B15,V15)</f>
        <v>142</v>
      </c>
    </row>
    <row r="16" spans="1:24" ht="60.75" thickBot="1" x14ac:dyDescent="0.3">
      <c r="A16" s="3" t="s">
        <v>20</v>
      </c>
      <c r="B16" s="4" t="s">
        <v>21</v>
      </c>
      <c r="C16" s="4"/>
      <c r="D16" s="4"/>
      <c r="E16" s="4">
        <v>4</v>
      </c>
      <c r="F16" s="4">
        <v>8</v>
      </c>
      <c r="G16" s="4"/>
      <c r="H16" s="4"/>
      <c r="I16" s="4"/>
      <c r="J16" s="4"/>
      <c r="K16" s="2">
        <f t="shared" si="0"/>
        <v>12</v>
      </c>
      <c r="L16" s="3" t="s">
        <v>188</v>
      </c>
      <c r="M16" s="3"/>
      <c r="N16" s="3"/>
      <c r="O16" s="3"/>
      <c r="P16" s="3">
        <v>4</v>
      </c>
      <c r="Q16" s="3"/>
      <c r="R16" s="3"/>
      <c r="S16" s="3"/>
      <c r="T16" s="3"/>
      <c r="U16" s="2">
        <f t="shared" si="1"/>
        <v>4</v>
      </c>
      <c r="V16" s="3" t="s">
        <v>293</v>
      </c>
      <c r="W16" s="13">
        <f t="shared" si="2"/>
        <v>12</v>
      </c>
      <c r="X16" s="13" cm="1">
        <f t="array" ref="X16">levdist(B16,V16)</f>
        <v>82</v>
      </c>
    </row>
    <row r="17" spans="1:24" ht="45.75" thickBot="1" x14ac:dyDescent="0.3">
      <c r="A17" s="3" t="s">
        <v>22</v>
      </c>
      <c r="B17" s="4" t="s">
        <v>23</v>
      </c>
      <c r="C17" s="4"/>
      <c r="D17" s="4"/>
      <c r="E17" s="4"/>
      <c r="F17" s="4"/>
      <c r="G17" s="4">
        <v>2</v>
      </c>
      <c r="H17" s="4"/>
      <c r="I17" s="4"/>
      <c r="J17" s="4"/>
      <c r="K17" s="2">
        <f t="shared" si="0"/>
        <v>2</v>
      </c>
      <c r="L17" s="3" t="s">
        <v>189</v>
      </c>
      <c r="M17" s="3"/>
      <c r="N17" s="3"/>
      <c r="O17" s="3"/>
      <c r="P17" s="3"/>
      <c r="Q17" s="3">
        <v>2</v>
      </c>
      <c r="R17" s="3"/>
      <c r="S17" s="3"/>
      <c r="T17" s="3"/>
      <c r="U17" s="2">
        <f t="shared" si="1"/>
        <v>2</v>
      </c>
      <c r="V17" s="3" t="s">
        <v>294</v>
      </c>
      <c r="W17" s="13">
        <f t="shared" si="2"/>
        <v>2</v>
      </c>
      <c r="X17" s="13" cm="1">
        <f t="array" ref="X17">levdist(B17,V17)</f>
        <v>51</v>
      </c>
    </row>
    <row r="18" spans="1:24" ht="75.75" thickBot="1" x14ac:dyDescent="0.3">
      <c r="A18" s="3" t="s">
        <v>418</v>
      </c>
      <c r="B18" s="4" t="s">
        <v>24</v>
      </c>
      <c r="C18" s="4"/>
      <c r="D18" s="4"/>
      <c r="E18" s="4"/>
      <c r="F18" s="4">
        <v>4</v>
      </c>
      <c r="G18" s="4">
        <v>4</v>
      </c>
      <c r="H18" s="4"/>
      <c r="I18" s="4"/>
      <c r="J18" s="4"/>
      <c r="K18" s="2">
        <f t="shared" si="0"/>
        <v>8</v>
      </c>
      <c r="L18" s="3" t="s">
        <v>190</v>
      </c>
      <c r="M18" s="3"/>
      <c r="N18" s="3"/>
      <c r="O18" s="3"/>
      <c r="P18" s="3">
        <v>2</v>
      </c>
      <c r="Q18" s="3">
        <v>4</v>
      </c>
      <c r="R18" s="3"/>
      <c r="S18" s="3"/>
      <c r="T18" s="3"/>
      <c r="U18" s="2">
        <f t="shared" si="1"/>
        <v>6</v>
      </c>
      <c r="V18" s="3" t="s">
        <v>295</v>
      </c>
      <c r="W18" s="13">
        <f t="shared" si="2"/>
        <v>8</v>
      </c>
      <c r="X18" s="13" cm="1">
        <f t="array" ref="X18">levdist(B18,V18)</f>
        <v>127</v>
      </c>
    </row>
    <row r="19" spans="1:24" ht="60.75" thickBot="1" x14ac:dyDescent="0.3">
      <c r="A19" s="3" t="s">
        <v>25</v>
      </c>
      <c r="B19" s="4" t="s">
        <v>26</v>
      </c>
      <c r="C19" s="4"/>
      <c r="D19" s="4"/>
      <c r="E19" s="4">
        <v>8</v>
      </c>
      <c r="F19" s="4"/>
      <c r="G19" s="4"/>
      <c r="H19" s="4">
        <v>4</v>
      </c>
      <c r="I19" s="4"/>
      <c r="J19" s="4"/>
      <c r="K19" s="2">
        <f t="shared" si="0"/>
        <v>12</v>
      </c>
      <c r="L19" s="3" t="s">
        <v>191</v>
      </c>
      <c r="M19" s="3"/>
      <c r="N19" s="3"/>
      <c r="O19" s="3">
        <v>8</v>
      </c>
      <c r="P19" s="3"/>
      <c r="Q19" s="3">
        <v>4</v>
      </c>
      <c r="R19" s="3">
        <v>4</v>
      </c>
      <c r="S19" s="3"/>
      <c r="T19" s="3"/>
      <c r="U19" s="2">
        <f t="shared" si="1"/>
        <v>16</v>
      </c>
      <c r="V19" s="3" t="s">
        <v>296</v>
      </c>
      <c r="W19" s="13">
        <f t="shared" si="2"/>
        <v>12</v>
      </c>
      <c r="X19" s="13" cm="1">
        <f t="array" ref="X19">levdist(B19,V19)</f>
        <v>93</v>
      </c>
    </row>
    <row r="20" spans="1:24" ht="45.75" thickBot="1" x14ac:dyDescent="0.3">
      <c r="A20" s="3" t="s">
        <v>419</v>
      </c>
      <c r="B20" s="4" t="s">
        <v>27</v>
      </c>
      <c r="C20" s="4"/>
      <c r="D20" s="4"/>
      <c r="E20" s="4"/>
      <c r="F20" s="4">
        <v>1</v>
      </c>
      <c r="G20" s="4">
        <v>2</v>
      </c>
      <c r="H20" s="4"/>
      <c r="I20" s="4">
        <v>1</v>
      </c>
      <c r="J20" s="4"/>
      <c r="K20" s="2">
        <f t="shared" si="0"/>
        <v>4</v>
      </c>
      <c r="L20" s="3" t="s">
        <v>192</v>
      </c>
      <c r="M20" s="3"/>
      <c r="N20" s="3"/>
      <c r="O20" s="3"/>
      <c r="P20" s="3">
        <v>2</v>
      </c>
      <c r="Q20" s="3">
        <v>2</v>
      </c>
      <c r="R20" s="3"/>
      <c r="S20" s="3"/>
      <c r="T20" s="3"/>
      <c r="U20" s="2">
        <f t="shared" si="1"/>
        <v>4</v>
      </c>
      <c r="V20" s="3" t="s">
        <v>297</v>
      </c>
      <c r="W20" s="13">
        <f t="shared" si="2"/>
        <v>4</v>
      </c>
      <c r="X20" s="13" cm="1">
        <f t="array" ref="X20">levdist(B20,V20)</f>
        <v>72</v>
      </c>
    </row>
    <row r="21" spans="1:24" ht="45.75" thickBot="1" x14ac:dyDescent="0.3">
      <c r="A21" s="3" t="s">
        <v>420</v>
      </c>
      <c r="B21" s="4" t="s">
        <v>28</v>
      </c>
      <c r="C21" s="4"/>
      <c r="D21" s="4"/>
      <c r="E21" s="4"/>
      <c r="F21" s="4">
        <v>2</v>
      </c>
      <c r="G21" s="4">
        <v>1</v>
      </c>
      <c r="H21" s="4"/>
      <c r="I21" s="4">
        <v>1</v>
      </c>
      <c r="J21" s="4"/>
      <c r="K21" s="2">
        <f t="shared" si="0"/>
        <v>4</v>
      </c>
      <c r="L21" s="3" t="s">
        <v>193</v>
      </c>
      <c r="M21" s="3"/>
      <c r="N21" s="3"/>
      <c r="O21" s="3">
        <v>2</v>
      </c>
      <c r="P21" s="3"/>
      <c r="Q21" s="3">
        <v>1</v>
      </c>
      <c r="R21" s="3"/>
      <c r="S21" s="3"/>
      <c r="T21" s="3"/>
      <c r="U21" s="2">
        <f t="shared" si="1"/>
        <v>3</v>
      </c>
      <c r="V21" s="3" t="s">
        <v>298</v>
      </c>
      <c r="W21" s="13">
        <f t="shared" si="2"/>
        <v>4</v>
      </c>
      <c r="X21" s="13" cm="1">
        <f t="array" ref="X21">levdist(B21,V21)</f>
        <v>54</v>
      </c>
    </row>
    <row r="22" spans="1:24" ht="45.75" thickBot="1" x14ac:dyDescent="0.3">
      <c r="A22" s="3" t="s">
        <v>29</v>
      </c>
      <c r="B22" s="4" t="s">
        <v>30</v>
      </c>
      <c r="C22" s="4"/>
      <c r="D22" s="4"/>
      <c r="E22" s="4">
        <v>2</v>
      </c>
      <c r="F22" s="4"/>
      <c r="G22" s="4"/>
      <c r="H22" s="4">
        <v>4</v>
      </c>
      <c r="I22" s="4"/>
      <c r="J22" s="4"/>
      <c r="K22" s="2">
        <f t="shared" si="0"/>
        <v>6</v>
      </c>
      <c r="L22" s="3" t="s">
        <v>194</v>
      </c>
      <c r="M22" s="3"/>
      <c r="N22" s="3"/>
      <c r="O22" s="3">
        <v>2</v>
      </c>
      <c r="P22" s="3"/>
      <c r="Q22" s="3"/>
      <c r="R22" s="3">
        <v>2</v>
      </c>
      <c r="S22" s="3"/>
      <c r="T22" s="3"/>
      <c r="U22" s="2">
        <f t="shared" si="1"/>
        <v>4</v>
      </c>
      <c r="V22" s="3" t="s">
        <v>299</v>
      </c>
      <c r="W22" s="13">
        <f t="shared" si="2"/>
        <v>6</v>
      </c>
      <c r="X22" s="13" cm="1">
        <f t="array" ref="X22">levdist(B22,V22)</f>
        <v>32</v>
      </c>
    </row>
    <row r="23" spans="1:24" ht="45.75" thickBot="1" x14ac:dyDescent="0.3">
      <c r="A23" s="3" t="s">
        <v>31</v>
      </c>
      <c r="B23" s="4" t="s">
        <v>32</v>
      </c>
      <c r="C23" s="4"/>
      <c r="D23" s="4"/>
      <c r="E23" s="4">
        <v>4</v>
      </c>
      <c r="F23" s="4"/>
      <c r="G23" s="4"/>
      <c r="H23" s="4"/>
      <c r="I23" s="4"/>
      <c r="J23" s="4"/>
      <c r="K23" s="2">
        <f t="shared" si="0"/>
        <v>4</v>
      </c>
      <c r="L23" s="3" t="s">
        <v>195</v>
      </c>
      <c r="M23" s="3"/>
      <c r="N23" s="3"/>
      <c r="O23" s="3"/>
      <c r="P23" s="3"/>
      <c r="Q23" s="3"/>
      <c r="R23" s="3">
        <v>2</v>
      </c>
      <c r="S23" s="3"/>
      <c r="T23" s="3"/>
      <c r="U23" s="2">
        <f t="shared" si="1"/>
        <v>2</v>
      </c>
      <c r="V23" s="3" t="s">
        <v>300</v>
      </c>
      <c r="W23" s="13">
        <f t="shared" si="2"/>
        <v>4</v>
      </c>
      <c r="X23" s="13" cm="1">
        <f t="array" ref="X23">levdist(B23,V23)</f>
        <v>13</v>
      </c>
    </row>
    <row r="24" spans="1:24" ht="45.75" thickBot="1" x14ac:dyDescent="0.3">
      <c r="A24" s="3" t="s">
        <v>33</v>
      </c>
      <c r="B24" s="4" t="s">
        <v>34</v>
      </c>
      <c r="C24" s="4"/>
      <c r="D24" s="4"/>
      <c r="E24" s="4"/>
      <c r="F24" s="4">
        <v>4</v>
      </c>
      <c r="G24" s="4"/>
      <c r="H24" s="4"/>
      <c r="I24" s="4"/>
      <c r="J24" s="4"/>
      <c r="K24" s="2">
        <f t="shared" si="0"/>
        <v>4</v>
      </c>
      <c r="L24" s="3" t="s">
        <v>196</v>
      </c>
      <c r="M24" s="3"/>
      <c r="N24" s="3"/>
      <c r="O24" s="3"/>
      <c r="P24" s="3">
        <v>4</v>
      </c>
      <c r="Q24" s="3"/>
      <c r="R24" s="3"/>
      <c r="S24" s="3"/>
      <c r="T24" s="3"/>
      <c r="U24" s="2">
        <f t="shared" si="1"/>
        <v>4</v>
      </c>
      <c r="V24" s="3" t="s">
        <v>301</v>
      </c>
      <c r="W24" s="13">
        <f t="shared" si="2"/>
        <v>4</v>
      </c>
      <c r="X24" s="13" cm="1">
        <f t="array" ref="X24">levdist(B24,V24)</f>
        <v>47</v>
      </c>
    </row>
    <row r="25" spans="1:24" ht="30.75" thickBot="1" x14ac:dyDescent="0.3">
      <c r="A25" s="3" t="s">
        <v>35</v>
      </c>
      <c r="B25" s="4" t="s">
        <v>36</v>
      </c>
      <c r="C25" s="4">
        <v>1</v>
      </c>
      <c r="D25" s="4"/>
      <c r="E25" s="4"/>
      <c r="F25" s="4"/>
      <c r="G25" s="4"/>
      <c r="H25" s="4"/>
      <c r="I25" s="4"/>
      <c r="J25" s="4"/>
      <c r="K25" s="2">
        <f t="shared" si="0"/>
        <v>0</v>
      </c>
      <c r="L25" s="3" t="s">
        <v>197</v>
      </c>
      <c r="M25" s="3">
        <v>1</v>
      </c>
      <c r="N25" s="3"/>
      <c r="O25" s="3"/>
      <c r="P25" s="3"/>
      <c r="Q25" s="3"/>
      <c r="R25" s="3"/>
      <c r="S25" s="3"/>
      <c r="T25" s="3"/>
      <c r="U25" s="2">
        <f t="shared" si="1"/>
        <v>0</v>
      </c>
      <c r="V25" s="3" t="s">
        <v>302</v>
      </c>
      <c r="W25" s="13">
        <f t="shared" si="2"/>
        <v>0</v>
      </c>
      <c r="X25" s="13" cm="1">
        <f t="array" ref="X25">levdist(B25,V25)</f>
        <v>13</v>
      </c>
    </row>
    <row r="26" spans="1:24" ht="45.75" thickBot="1" x14ac:dyDescent="0.3">
      <c r="A26" s="3" t="s">
        <v>37</v>
      </c>
      <c r="B26" s="4" t="s">
        <v>38</v>
      </c>
      <c r="C26" s="4">
        <v>1</v>
      </c>
      <c r="D26" s="4"/>
      <c r="E26" s="4"/>
      <c r="F26" s="4"/>
      <c r="G26" s="4"/>
      <c r="H26" s="4"/>
      <c r="I26" s="4"/>
      <c r="J26" s="4"/>
      <c r="K26" s="2">
        <f t="shared" si="0"/>
        <v>0</v>
      </c>
      <c r="L26" s="3" t="s">
        <v>198</v>
      </c>
      <c r="M26" s="3">
        <v>1</v>
      </c>
      <c r="N26" s="3"/>
      <c r="O26" s="3"/>
      <c r="P26" s="3"/>
      <c r="Q26" s="3"/>
      <c r="R26" s="3"/>
      <c r="S26" s="3"/>
      <c r="T26" s="3"/>
      <c r="U26" s="2">
        <f t="shared" si="1"/>
        <v>0</v>
      </c>
      <c r="V26" s="3" t="s">
        <v>303</v>
      </c>
      <c r="W26" s="13">
        <f t="shared" si="2"/>
        <v>0</v>
      </c>
      <c r="X26" s="13" cm="1">
        <f t="array" ref="X26">levdist(B26,V26)</f>
        <v>47</v>
      </c>
    </row>
    <row r="27" spans="1:24" ht="45.75" thickBot="1" x14ac:dyDescent="0.3">
      <c r="A27" s="3" t="s">
        <v>39</v>
      </c>
      <c r="B27" s="4" t="s">
        <v>40</v>
      </c>
      <c r="C27" s="4">
        <v>1</v>
      </c>
      <c r="D27" s="4"/>
      <c r="E27" s="4"/>
      <c r="F27" s="4"/>
      <c r="G27" s="4"/>
      <c r="H27" s="4"/>
      <c r="I27" s="4"/>
      <c r="J27" s="4"/>
      <c r="K27" s="2">
        <f t="shared" si="0"/>
        <v>0</v>
      </c>
      <c r="L27" s="3" t="s">
        <v>199</v>
      </c>
      <c r="M27" s="3">
        <v>1</v>
      </c>
      <c r="N27" s="3"/>
      <c r="O27" s="3"/>
      <c r="P27" s="3"/>
      <c r="Q27" s="3"/>
      <c r="R27" s="3"/>
      <c r="S27" s="3"/>
      <c r="T27" s="3"/>
      <c r="U27" s="2">
        <f t="shared" si="1"/>
        <v>0</v>
      </c>
      <c r="V27" s="3" t="s">
        <v>304</v>
      </c>
      <c r="W27" s="13">
        <f t="shared" si="2"/>
        <v>0</v>
      </c>
      <c r="X27" s="13" cm="1">
        <f t="array" ref="X27">levdist(B27,V27)</f>
        <v>53</v>
      </c>
    </row>
    <row r="28" spans="1:24" ht="30.75" thickBot="1" x14ac:dyDescent="0.3">
      <c r="A28" s="3" t="s">
        <v>41</v>
      </c>
      <c r="B28" s="4" t="s">
        <v>42</v>
      </c>
      <c r="C28" s="4"/>
      <c r="D28" s="4"/>
      <c r="E28" s="4">
        <v>2</v>
      </c>
      <c r="F28" s="4">
        <v>1</v>
      </c>
      <c r="G28" s="4"/>
      <c r="H28" s="4"/>
      <c r="I28" s="4"/>
      <c r="J28" s="4"/>
      <c r="K28" s="2">
        <f t="shared" si="0"/>
        <v>3</v>
      </c>
      <c r="L28" s="3" t="s">
        <v>42</v>
      </c>
      <c r="M28" s="3"/>
      <c r="N28" s="3"/>
      <c r="O28" s="3">
        <v>2</v>
      </c>
      <c r="P28" s="3">
        <v>1</v>
      </c>
      <c r="Q28" s="3"/>
      <c r="R28" s="3"/>
      <c r="S28" s="3"/>
      <c r="T28" s="3"/>
      <c r="U28" s="2">
        <f t="shared" si="1"/>
        <v>3</v>
      </c>
      <c r="V28" s="3" t="s">
        <v>278</v>
      </c>
      <c r="W28" s="13">
        <f t="shared" si="2"/>
        <v>3</v>
      </c>
      <c r="X28" s="13" cm="1">
        <f t="array" ref="X28">levdist(B28,V28)</f>
        <v>51</v>
      </c>
    </row>
    <row r="29" spans="1:24" ht="45.75" thickBot="1" x14ac:dyDescent="0.3">
      <c r="A29" s="1" t="s">
        <v>44</v>
      </c>
      <c r="B29" s="2" t="s">
        <v>45</v>
      </c>
      <c r="C29" s="2"/>
      <c r="D29" s="2"/>
      <c r="E29" s="2">
        <v>8</v>
      </c>
      <c r="F29" s="2"/>
      <c r="G29" s="2"/>
      <c r="H29" s="2"/>
      <c r="I29" s="2"/>
      <c r="J29" s="2"/>
      <c r="K29" s="2">
        <f t="shared" si="0"/>
        <v>8</v>
      </c>
      <c r="L29" s="1" t="s">
        <v>200</v>
      </c>
      <c r="M29" s="1"/>
      <c r="N29" s="1"/>
      <c r="O29" s="1">
        <v>8</v>
      </c>
      <c r="P29" s="1"/>
      <c r="Q29" s="1"/>
      <c r="R29" s="1"/>
      <c r="S29" s="1"/>
      <c r="T29" s="1"/>
      <c r="U29" s="2">
        <f t="shared" si="1"/>
        <v>8</v>
      </c>
      <c r="V29" s="1" t="s">
        <v>305</v>
      </c>
      <c r="W29" s="13">
        <f t="shared" si="2"/>
        <v>8</v>
      </c>
      <c r="X29" s="13" cm="1">
        <f t="array" ref="X29">levdist(B29,V29)</f>
        <v>52</v>
      </c>
    </row>
    <row r="30" spans="1:24" ht="75.75" thickBot="1" x14ac:dyDescent="0.3">
      <c r="A30" s="3" t="s">
        <v>46</v>
      </c>
      <c r="B30" s="4" t="s">
        <v>47</v>
      </c>
      <c r="C30" s="4"/>
      <c r="D30" s="4">
        <v>8</v>
      </c>
      <c r="E30" s="4"/>
      <c r="F30" s="4"/>
      <c r="G30" s="4"/>
      <c r="H30" s="4"/>
      <c r="I30" s="4"/>
      <c r="J30" s="4"/>
      <c r="K30" s="2">
        <f t="shared" si="0"/>
        <v>8</v>
      </c>
      <c r="L30" s="3" t="s">
        <v>201</v>
      </c>
      <c r="M30" s="3"/>
      <c r="N30" s="3">
        <v>4</v>
      </c>
      <c r="O30" s="3"/>
      <c r="P30" s="3"/>
      <c r="Q30" s="3"/>
      <c r="R30" s="3"/>
      <c r="S30" s="3"/>
      <c r="T30" s="3"/>
      <c r="U30" s="2">
        <f t="shared" si="1"/>
        <v>4</v>
      </c>
      <c r="V30" s="3" t="s">
        <v>330</v>
      </c>
      <c r="W30" s="13">
        <f t="shared" si="2"/>
        <v>8</v>
      </c>
      <c r="X30" s="13" cm="1">
        <f t="array" ref="X30">levdist(B30,V30)</f>
        <v>160</v>
      </c>
    </row>
    <row r="31" spans="1:24" ht="90.75" thickBot="1" x14ac:dyDescent="0.3">
      <c r="A31" s="3" t="s">
        <v>48</v>
      </c>
      <c r="B31" s="4" t="s">
        <v>49</v>
      </c>
      <c r="C31" s="4"/>
      <c r="D31" s="4"/>
      <c r="E31" s="4"/>
      <c r="F31" s="4">
        <v>2</v>
      </c>
      <c r="G31" s="4"/>
      <c r="H31" s="4"/>
      <c r="I31" s="4"/>
      <c r="J31" s="4"/>
      <c r="K31" s="2">
        <f t="shared" si="0"/>
        <v>2</v>
      </c>
      <c r="L31" s="3" t="s">
        <v>202</v>
      </c>
      <c r="M31" s="3"/>
      <c r="N31" s="3"/>
      <c r="O31" s="3"/>
      <c r="P31" s="3"/>
      <c r="Q31" s="3">
        <v>4</v>
      </c>
      <c r="R31" s="3"/>
      <c r="S31" s="3"/>
      <c r="T31" s="3"/>
      <c r="U31" s="2">
        <f t="shared" si="1"/>
        <v>4</v>
      </c>
      <c r="V31" s="3" t="s">
        <v>306</v>
      </c>
      <c r="W31" s="13">
        <f t="shared" si="2"/>
        <v>2</v>
      </c>
      <c r="X31" s="13" cm="1">
        <f t="array" ref="X31">levdist(B31,V31)</f>
        <v>78</v>
      </c>
    </row>
    <row r="32" spans="1:24" ht="15.75" thickBot="1" x14ac:dyDescent="0.3">
      <c r="A32" s="3" t="s">
        <v>50</v>
      </c>
      <c r="B32" s="4" t="s">
        <v>51</v>
      </c>
      <c r="C32" s="4">
        <v>1</v>
      </c>
      <c r="D32" s="4"/>
      <c r="E32" s="4"/>
      <c r="F32" s="4"/>
      <c r="G32" s="4"/>
      <c r="H32" s="4"/>
      <c r="I32" s="4"/>
      <c r="J32" s="4"/>
      <c r="K32" s="2">
        <f t="shared" si="0"/>
        <v>0</v>
      </c>
      <c r="L32" s="3" t="s">
        <v>51</v>
      </c>
      <c r="M32" s="3">
        <v>1</v>
      </c>
      <c r="N32" s="3"/>
      <c r="O32" s="3"/>
      <c r="P32" s="3"/>
      <c r="Q32" s="3"/>
      <c r="R32" s="3"/>
      <c r="S32" s="3"/>
      <c r="T32" s="3"/>
      <c r="U32" s="2">
        <f t="shared" si="1"/>
        <v>0</v>
      </c>
      <c r="V32" s="3" t="s">
        <v>307</v>
      </c>
      <c r="W32" s="13">
        <f t="shared" si="2"/>
        <v>0</v>
      </c>
      <c r="X32" s="13" cm="1">
        <f t="array" ref="X32">levdist(B32,V32)</f>
        <v>8</v>
      </c>
    </row>
    <row r="33" spans="1:24" ht="30.75" thickBot="1" x14ac:dyDescent="0.3">
      <c r="A33" s="3" t="s">
        <v>421</v>
      </c>
      <c r="B33" s="4" t="s">
        <v>52</v>
      </c>
      <c r="C33" s="4"/>
      <c r="D33" s="4"/>
      <c r="E33" s="4"/>
      <c r="F33" s="4"/>
      <c r="G33" s="4">
        <v>4</v>
      </c>
      <c r="H33" s="4"/>
      <c r="I33" s="4"/>
      <c r="J33" s="4">
        <v>4</v>
      </c>
      <c r="K33" s="2">
        <f t="shared" si="0"/>
        <v>8</v>
      </c>
      <c r="L33" s="3" t="s">
        <v>203</v>
      </c>
      <c r="M33" s="3"/>
      <c r="N33" s="3"/>
      <c r="O33" s="3"/>
      <c r="P33" s="3"/>
      <c r="Q33" s="3">
        <v>4</v>
      </c>
      <c r="R33" s="3"/>
      <c r="S33" s="3"/>
      <c r="T33" s="3"/>
      <c r="U33" s="2">
        <f t="shared" si="1"/>
        <v>4</v>
      </c>
      <c r="V33" s="3" t="s">
        <v>308</v>
      </c>
      <c r="W33" s="13">
        <f t="shared" si="2"/>
        <v>8</v>
      </c>
      <c r="X33" s="13" cm="1">
        <f t="array" ref="X33">levdist(B33,V33)</f>
        <v>64</v>
      </c>
    </row>
    <row r="34" spans="1:24" ht="60.75" thickBot="1" x14ac:dyDescent="0.3">
      <c r="A34" s="3" t="s">
        <v>53</v>
      </c>
      <c r="B34" s="4" t="s">
        <v>54</v>
      </c>
      <c r="C34" s="4">
        <v>1</v>
      </c>
      <c r="D34" s="4"/>
      <c r="E34" s="4"/>
      <c r="F34" s="4"/>
      <c r="G34" s="4"/>
      <c r="H34" s="4"/>
      <c r="I34" s="4"/>
      <c r="J34" s="4"/>
      <c r="K34" s="2">
        <f t="shared" si="0"/>
        <v>0</v>
      </c>
      <c r="L34" s="3" t="s">
        <v>204</v>
      </c>
      <c r="M34" s="3"/>
      <c r="N34" s="3"/>
      <c r="O34" s="3"/>
      <c r="P34" s="3"/>
      <c r="Q34" s="3"/>
      <c r="R34" s="3"/>
      <c r="S34" s="3">
        <v>4</v>
      </c>
      <c r="T34" s="3"/>
      <c r="U34" s="2">
        <f t="shared" si="1"/>
        <v>4</v>
      </c>
      <c r="V34" s="3" t="s">
        <v>309</v>
      </c>
      <c r="W34" s="13">
        <f t="shared" si="2"/>
        <v>0</v>
      </c>
      <c r="X34" s="13" cm="1">
        <f t="array" ref="X34">levdist(B34,V34)</f>
        <v>82</v>
      </c>
    </row>
    <row r="35" spans="1:24" ht="105.75" thickBot="1" x14ac:dyDescent="0.3">
      <c r="A35" s="3" t="s">
        <v>55</v>
      </c>
      <c r="B35" s="4" t="s">
        <v>56</v>
      </c>
      <c r="C35" s="4"/>
      <c r="D35" s="4"/>
      <c r="E35" s="4"/>
      <c r="F35" s="4">
        <v>4</v>
      </c>
      <c r="G35" s="4"/>
      <c r="H35" s="4"/>
      <c r="I35" s="4">
        <v>4</v>
      </c>
      <c r="J35" s="4"/>
      <c r="K35" s="2">
        <f t="shared" si="0"/>
        <v>8</v>
      </c>
      <c r="L35" s="3" t="s">
        <v>205</v>
      </c>
      <c r="M35" s="3"/>
      <c r="N35" s="3"/>
      <c r="O35" s="3"/>
      <c r="P35" s="3">
        <v>4</v>
      </c>
      <c r="Q35" s="3"/>
      <c r="R35" s="3"/>
      <c r="S35" s="3"/>
      <c r="T35" s="3"/>
      <c r="U35" s="2">
        <f t="shared" si="1"/>
        <v>4</v>
      </c>
      <c r="V35" s="3" t="s">
        <v>310</v>
      </c>
      <c r="W35" s="13">
        <f t="shared" si="2"/>
        <v>8</v>
      </c>
      <c r="X35" s="13" cm="1">
        <f t="array" ref="X35">levdist(B35,V35)</f>
        <v>134</v>
      </c>
    </row>
    <row r="36" spans="1:24" ht="30.75" thickBot="1" x14ac:dyDescent="0.3">
      <c r="A36" s="3" t="s">
        <v>422</v>
      </c>
      <c r="B36" s="4" t="s">
        <v>57</v>
      </c>
      <c r="C36" s="4"/>
      <c r="D36" s="4"/>
      <c r="E36" s="4"/>
      <c r="F36" s="4"/>
      <c r="G36" s="4">
        <v>4</v>
      </c>
      <c r="H36" s="4"/>
      <c r="I36" s="4"/>
      <c r="J36" s="4"/>
      <c r="K36" s="2">
        <f t="shared" si="0"/>
        <v>4</v>
      </c>
      <c r="L36" s="3" t="s">
        <v>206</v>
      </c>
      <c r="M36" s="3"/>
      <c r="N36" s="3"/>
      <c r="O36" s="3"/>
      <c r="P36" s="3"/>
      <c r="Q36" s="3">
        <v>4</v>
      </c>
      <c r="R36" s="3"/>
      <c r="S36" s="3"/>
      <c r="T36" s="3"/>
      <c r="U36" s="2">
        <f t="shared" si="1"/>
        <v>4</v>
      </c>
      <c r="V36" s="3" t="s">
        <v>311</v>
      </c>
      <c r="W36" s="13">
        <f t="shared" si="2"/>
        <v>4</v>
      </c>
      <c r="X36" s="13" cm="1">
        <f t="array" ref="X36">levdist(B36,V36)</f>
        <v>43</v>
      </c>
    </row>
    <row r="37" spans="1:24" ht="60.75" thickBot="1" x14ac:dyDescent="0.3">
      <c r="A37" s="3" t="s">
        <v>423</v>
      </c>
      <c r="B37" s="4" t="s">
        <v>58</v>
      </c>
      <c r="C37" s="4"/>
      <c r="D37" s="4"/>
      <c r="E37" s="4"/>
      <c r="F37" s="4"/>
      <c r="G37" s="4">
        <v>4</v>
      </c>
      <c r="H37" s="4">
        <v>4</v>
      </c>
      <c r="I37" s="4"/>
      <c r="J37" s="4"/>
      <c r="K37" s="2">
        <f t="shared" si="0"/>
        <v>8</v>
      </c>
      <c r="L37" s="3" t="s">
        <v>207</v>
      </c>
      <c r="M37" s="3"/>
      <c r="N37" s="3"/>
      <c r="O37" s="3"/>
      <c r="P37" s="3"/>
      <c r="Q37" s="3">
        <v>4</v>
      </c>
      <c r="R37" s="3">
        <v>8</v>
      </c>
      <c r="S37" s="3"/>
      <c r="T37" s="3"/>
      <c r="U37" s="2">
        <f t="shared" si="1"/>
        <v>12</v>
      </c>
      <c r="V37" s="3" t="s">
        <v>312</v>
      </c>
      <c r="W37" s="13">
        <f t="shared" si="2"/>
        <v>8</v>
      </c>
      <c r="X37" s="13" cm="1">
        <f t="array" ref="X37">levdist(B37,V37)</f>
        <v>130</v>
      </c>
    </row>
    <row r="38" spans="1:24" ht="75.75" thickBot="1" x14ac:dyDescent="0.3">
      <c r="A38" s="3" t="s">
        <v>424</v>
      </c>
      <c r="B38" s="4" t="s">
        <v>59</v>
      </c>
      <c r="C38" s="4"/>
      <c r="D38" s="4"/>
      <c r="E38" s="4"/>
      <c r="F38" s="4">
        <v>4</v>
      </c>
      <c r="G38" s="4">
        <v>4</v>
      </c>
      <c r="H38" s="4"/>
      <c r="I38" s="4"/>
      <c r="J38" s="4"/>
      <c r="K38" s="2">
        <f t="shared" si="0"/>
        <v>8</v>
      </c>
      <c r="L38" s="3" t="s">
        <v>208</v>
      </c>
      <c r="M38" s="3"/>
      <c r="N38" s="3"/>
      <c r="O38" s="3"/>
      <c r="P38" s="3">
        <v>2</v>
      </c>
      <c r="Q38" s="3">
        <v>4</v>
      </c>
      <c r="R38" s="3"/>
      <c r="S38" s="3"/>
      <c r="T38" s="3"/>
      <c r="U38" s="2">
        <f t="shared" si="1"/>
        <v>6</v>
      </c>
      <c r="V38" s="3" t="s">
        <v>313</v>
      </c>
      <c r="W38" s="13">
        <f t="shared" si="2"/>
        <v>8</v>
      </c>
      <c r="X38" s="13" cm="1">
        <f t="array" ref="X38">levdist(B38,V38)</f>
        <v>98</v>
      </c>
    </row>
    <row r="39" spans="1:24" ht="120.75" thickBot="1" x14ac:dyDescent="0.3">
      <c r="A39" s="3" t="s">
        <v>60</v>
      </c>
      <c r="B39" s="4" t="s">
        <v>61</v>
      </c>
      <c r="C39" s="4"/>
      <c r="D39" s="4"/>
      <c r="E39" s="4"/>
      <c r="F39" s="4">
        <v>4</v>
      </c>
      <c r="G39" s="4"/>
      <c r="H39" s="4">
        <v>4</v>
      </c>
      <c r="I39" s="4"/>
      <c r="J39" s="4"/>
      <c r="K39" s="2">
        <f t="shared" si="0"/>
        <v>8</v>
      </c>
      <c r="L39" s="3" t="s">
        <v>209</v>
      </c>
      <c r="M39" s="3"/>
      <c r="N39" s="3"/>
      <c r="O39" s="3"/>
      <c r="P39" s="3">
        <v>2</v>
      </c>
      <c r="Q39" s="3"/>
      <c r="R39" s="3"/>
      <c r="S39" s="3"/>
      <c r="T39" s="3"/>
      <c r="U39" s="2">
        <f t="shared" si="1"/>
        <v>2</v>
      </c>
      <c r="V39" s="3" t="s">
        <v>314</v>
      </c>
      <c r="W39" s="13">
        <f t="shared" si="2"/>
        <v>8</v>
      </c>
      <c r="X39" s="13" cm="1">
        <f t="array" ref="X39">levdist(B39,V39)</f>
        <v>95</v>
      </c>
    </row>
    <row r="40" spans="1:24" ht="60.75" thickBot="1" x14ac:dyDescent="0.3">
      <c r="A40" s="3" t="s">
        <v>425</v>
      </c>
      <c r="B40" s="4" t="s">
        <v>62</v>
      </c>
      <c r="C40" s="4"/>
      <c r="D40" s="4"/>
      <c r="E40" s="4"/>
      <c r="F40" s="4">
        <v>4</v>
      </c>
      <c r="G40" s="4">
        <v>4</v>
      </c>
      <c r="H40" s="4">
        <v>8</v>
      </c>
      <c r="I40" s="4"/>
      <c r="J40" s="4"/>
      <c r="K40" s="2">
        <f t="shared" si="0"/>
        <v>16</v>
      </c>
      <c r="L40" s="3" t="s">
        <v>210</v>
      </c>
      <c r="M40" s="3"/>
      <c r="N40" s="3"/>
      <c r="O40" s="3"/>
      <c r="P40" s="3">
        <v>4</v>
      </c>
      <c r="Q40" s="3"/>
      <c r="R40" s="3">
        <v>2</v>
      </c>
      <c r="S40" s="3"/>
      <c r="T40" s="3"/>
      <c r="U40" s="2">
        <f t="shared" si="1"/>
        <v>6</v>
      </c>
      <c r="V40" s="3" t="s">
        <v>315</v>
      </c>
      <c r="W40" s="13">
        <f t="shared" si="2"/>
        <v>16</v>
      </c>
      <c r="X40" s="13" cm="1">
        <f t="array" ref="X40">levdist(B40,V40)</f>
        <v>102</v>
      </c>
    </row>
    <row r="41" spans="1:24" ht="165.75" thickBot="1" x14ac:dyDescent="0.3">
      <c r="A41" s="3" t="s">
        <v>426</v>
      </c>
      <c r="B41" s="4" t="s">
        <v>63</v>
      </c>
      <c r="C41" s="4"/>
      <c r="D41" s="4"/>
      <c r="E41" s="4"/>
      <c r="F41" s="4">
        <v>2</v>
      </c>
      <c r="G41" s="4">
        <v>4</v>
      </c>
      <c r="H41" s="4">
        <v>8</v>
      </c>
      <c r="I41" s="4"/>
      <c r="J41" s="4"/>
      <c r="K41" s="2">
        <f t="shared" si="0"/>
        <v>14</v>
      </c>
      <c r="L41" s="3" t="s">
        <v>211</v>
      </c>
      <c r="M41" s="3"/>
      <c r="N41" s="3"/>
      <c r="O41" s="3"/>
      <c r="P41" s="3">
        <v>8</v>
      </c>
      <c r="Q41" s="3"/>
      <c r="R41" s="3"/>
      <c r="S41" s="3"/>
      <c r="T41" s="3"/>
      <c r="U41" s="2">
        <f t="shared" si="1"/>
        <v>8</v>
      </c>
      <c r="V41" s="3" t="s">
        <v>316</v>
      </c>
      <c r="W41" s="13">
        <f t="shared" si="2"/>
        <v>14</v>
      </c>
      <c r="X41" s="13" cm="1">
        <f t="array" ref="X41">levdist(B41,V41)</f>
        <v>287</v>
      </c>
    </row>
    <row r="42" spans="1:24" ht="45.75" thickBot="1" x14ac:dyDescent="0.3">
      <c r="A42" s="3" t="s">
        <v>64</v>
      </c>
      <c r="B42" s="4" t="s">
        <v>65</v>
      </c>
      <c r="C42" s="4"/>
      <c r="D42" s="4"/>
      <c r="E42" s="4"/>
      <c r="F42" s="4"/>
      <c r="G42" s="4"/>
      <c r="H42" s="4">
        <v>4</v>
      </c>
      <c r="I42" s="4">
        <v>2</v>
      </c>
      <c r="J42" s="4"/>
      <c r="K42" s="2">
        <f t="shared" si="0"/>
        <v>6</v>
      </c>
      <c r="L42" s="3" t="s">
        <v>212</v>
      </c>
      <c r="M42" s="3"/>
      <c r="N42" s="3"/>
      <c r="O42" s="3"/>
      <c r="P42" s="3"/>
      <c r="Q42" s="3"/>
      <c r="R42" s="3">
        <v>4</v>
      </c>
      <c r="S42" s="3"/>
      <c r="T42" s="3"/>
      <c r="U42" s="2">
        <f t="shared" si="1"/>
        <v>4</v>
      </c>
      <c r="V42" s="3" t="s">
        <v>317</v>
      </c>
      <c r="W42" s="13">
        <f t="shared" si="2"/>
        <v>6</v>
      </c>
      <c r="X42" s="13" cm="1">
        <f t="array" ref="X42">levdist(B42,V42)</f>
        <v>92</v>
      </c>
    </row>
    <row r="43" spans="1:24" ht="120.75" thickBot="1" x14ac:dyDescent="0.3">
      <c r="A43" s="3" t="s">
        <v>427</v>
      </c>
      <c r="B43" s="4" t="s">
        <v>66</v>
      </c>
      <c r="C43" s="4"/>
      <c r="D43" s="4"/>
      <c r="E43" s="4">
        <v>2</v>
      </c>
      <c r="F43" s="4">
        <v>4</v>
      </c>
      <c r="G43" s="4">
        <v>2</v>
      </c>
      <c r="H43" s="4">
        <v>2</v>
      </c>
      <c r="I43" s="4"/>
      <c r="J43" s="4"/>
      <c r="K43" s="2">
        <f t="shared" si="0"/>
        <v>10</v>
      </c>
      <c r="L43" s="3" t="s">
        <v>213</v>
      </c>
      <c r="M43" s="3"/>
      <c r="N43" s="3"/>
      <c r="O43" s="3"/>
      <c r="P43" s="3">
        <v>4</v>
      </c>
      <c r="Q43" s="3">
        <v>2</v>
      </c>
      <c r="R43" s="3">
        <v>2</v>
      </c>
      <c r="S43" s="3"/>
      <c r="T43" s="3"/>
      <c r="U43" s="2">
        <f t="shared" si="1"/>
        <v>8</v>
      </c>
      <c r="V43" s="3" t="s">
        <v>318</v>
      </c>
      <c r="W43" s="13">
        <f t="shared" si="2"/>
        <v>10</v>
      </c>
      <c r="X43" s="13" cm="1">
        <f t="array" ref="X43">levdist(B43,V43)</f>
        <v>185</v>
      </c>
    </row>
    <row r="44" spans="1:24" ht="75.75" thickBot="1" x14ac:dyDescent="0.3">
      <c r="A44" s="3" t="s">
        <v>67</v>
      </c>
      <c r="B44" s="4" t="s">
        <v>68</v>
      </c>
      <c r="C44" s="4"/>
      <c r="D44" s="4"/>
      <c r="E44" s="4"/>
      <c r="F44" s="4">
        <v>2</v>
      </c>
      <c r="G44" s="4"/>
      <c r="H44" s="4"/>
      <c r="I44" s="4"/>
      <c r="J44" s="4"/>
      <c r="K44" s="2">
        <f t="shared" si="0"/>
        <v>2</v>
      </c>
      <c r="L44" s="3" t="s">
        <v>214</v>
      </c>
      <c r="M44" s="3"/>
      <c r="N44" s="3"/>
      <c r="O44" s="3">
        <v>4</v>
      </c>
      <c r="P44" s="3">
        <v>4</v>
      </c>
      <c r="Q44" s="3"/>
      <c r="R44" s="3"/>
      <c r="S44" s="3"/>
      <c r="T44" s="3"/>
      <c r="U44" s="2">
        <f t="shared" si="1"/>
        <v>8</v>
      </c>
      <c r="V44" s="3" t="s">
        <v>319</v>
      </c>
      <c r="W44" s="13">
        <f t="shared" si="2"/>
        <v>2</v>
      </c>
      <c r="X44" s="13" cm="1">
        <f t="array" ref="X44">levdist(B44,V44)</f>
        <v>100</v>
      </c>
    </row>
    <row r="45" spans="1:24" ht="60.75" thickBot="1" x14ac:dyDescent="0.3">
      <c r="A45" s="3" t="s">
        <v>69</v>
      </c>
      <c r="B45" s="4" t="s">
        <v>70</v>
      </c>
      <c r="C45" s="4"/>
      <c r="D45" s="4"/>
      <c r="E45" s="4"/>
      <c r="F45" s="4">
        <v>2</v>
      </c>
      <c r="G45" s="4"/>
      <c r="H45" s="4"/>
      <c r="I45" s="4"/>
      <c r="J45" s="4"/>
      <c r="K45" s="2">
        <f t="shared" si="0"/>
        <v>2</v>
      </c>
      <c r="L45" s="3" t="s">
        <v>215</v>
      </c>
      <c r="M45" s="3"/>
      <c r="N45" s="3"/>
      <c r="O45" s="3"/>
      <c r="P45" s="3">
        <v>2</v>
      </c>
      <c r="Q45" s="3"/>
      <c r="R45" s="3"/>
      <c r="S45" s="3"/>
      <c r="T45" s="3"/>
      <c r="U45" s="2">
        <f t="shared" si="1"/>
        <v>2</v>
      </c>
      <c r="V45" s="3" t="s">
        <v>320</v>
      </c>
      <c r="W45" s="13">
        <f t="shared" si="2"/>
        <v>2</v>
      </c>
      <c r="X45" s="13" cm="1">
        <f t="array" ref="X45">levdist(B45,V45)</f>
        <v>76</v>
      </c>
    </row>
    <row r="46" spans="1:24" ht="60.75" thickBot="1" x14ac:dyDescent="0.3">
      <c r="A46" s="3" t="s">
        <v>428</v>
      </c>
      <c r="B46" s="4" t="s">
        <v>71</v>
      </c>
      <c r="C46" s="4"/>
      <c r="D46" s="4"/>
      <c r="E46" s="4"/>
      <c r="F46" s="4"/>
      <c r="G46" s="4">
        <v>4</v>
      </c>
      <c r="H46" s="4">
        <v>4</v>
      </c>
      <c r="I46" s="4"/>
      <c r="J46" s="4"/>
      <c r="K46" s="2">
        <f t="shared" si="0"/>
        <v>8</v>
      </c>
      <c r="L46" s="3" t="s">
        <v>216</v>
      </c>
      <c r="M46" s="3"/>
      <c r="N46" s="3"/>
      <c r="O46" s="3"/>
      <c r="P46" s="3"/>
      <c r="Q46" s="3">
        <v>4</v>
      </c>
      <c r="R46" s="3">
        <v>4</v>
      </c>
      <c r="S46" s="3"/>
      <c r="T46" s="3"/>
      <c r="U46" s="2">
        <f t="shared" si="1"/>
        <v>8</v>
      </c>
      <c r="V46" s="3" t="s">
        <v>321</v>
      </c>
      <c r="W46" s="13">
        <f t="shared" si="2"/>
        <v>8</v>
      </c>
      <c r="X46" s="13" cm="1">
        <f t="array" ref="X46">levdist(B46,V46)</f>
        <v>106</v>
      </c>
    </row>
    <row r="47" spans="1:24" ht="75.75" thickBot="1" x14ac:dyDescent="0.3">
      <c r="A47" s="3" t="s">
        <v>72</v>
      </c>
      <c r="B47" s="4" t="s">
        <v>73</v>
      </c>
      <c r="C47" s="4"/>
      <c r="D47" s="4"/>
      <c r="E47" s="4">
        <v>8</v>
      </c>
      <c r="F47" s="4"/>
      <c r="G47" s="4"/>
      <c r="H47" s="4"/>
      <c r="I47" s="4"/>
      <c r="J47" s="4"/>
      <c r="K47" s="2">
        <f t="shared" si="0"/>
        <v>8</v>
      </c>
      <c r="L47" s="3" t="s">
        <v>217</v>
      </c>
      <c r="M47" s="3"/>
      <c r="N47" s="3"/>
      <c r="O47" s="3"/>
      <c r="P47" s="3">
        <v>8</v>
      </c>
      <c r="Q47" s="3">
        <v>2</v>
      </c>
      <c r="R47" s="3"/>
      <c r="S47" s="3"/>
      <c r="T47" s="3"/>
      <c r="U47" s="2">
        <f t="shared" si="1"/>
        <v>10</v>
      </c>
      <c r="V47" s="3" t="s">
        <v>322</v>
      </c>
      <c r="W47" s="13">
        <f t="shared" si="2"/>
        <v>8</v>
      </c>
      <c r="X47" s="13" cm="1">
        <f t="array" ref="X47">levdist(B47,V47)</f>
        <v>107</v>
      </c>
    </row>
    <row r="48" spans="1:24" ht="45.75" thickBot="1" x14ac:dyDescent="0.3">
      <c r="A48" s="3" t="s">
        <v>74</v>
      </c>
      <c r="B48" s="4" t="s">
        <v>75</v>
      </c>
      <c r="C48" s="4"/>
      <c r="D48" s="4"/>
      <c r="E48" s="4">
        <v>8</v>
      </c>
      <c r="F48" s="4">
        <v>4</v>
      </c>
      <c r="G48" s="4"/>
      <c r="H48" s="4">
        <v>8</v>
      </c>
      <c r="I48" s="4"/>
      <c r="J48" s="4"/>
      <c r="K48" s="2">
        <f t="shared" si="0"/>
        <v>20</v>
      </c>
      <c r="L48" s="3" t="s">
        <v>218</v>
      </c>
      <c r="M48" s="3"/>
      <c r="N48" s="3"/>
      <c r="O48" s="3">
        <v>8</v>
      </c>
      <c r="P48" s="3">
        <v>4</v>
      </c>
      <c r="Q48" s="3"/>
      <c r="R48" s="3">
        <v>8</v>
      </c>
      <c r="S48" s="3"/>
      <c r="T48" s="3"/>
      <c r="U48" s="2">
        <f t="shared" si="1"/>
        <v>20</v>
      </c>
      <c r="V48" s="3" t="s">
        <v>323</v>
      </c>
      <c r="W48" s="13">
        <f t="shared" si="2"/>
        <v>20</v>
      </c>
      <c r="X48" s="13" cm="1">
        <f t="array" ref="X48">levdist(B48,V48)</f>
        <v>95</v>
      </c>
    </row>
    <row r="49" spans="1:24" ht="75.75" thickBot="1" x14ac:dyDescent="0.3">
      <c r="A49" s="3" t="s">
        <v>76</v>
      </c>
      <c r="B49" s="4" t="s">
        <v>77</v>
      </c>
      <c r="C49" s="4"/>
      <c r="D49" s="4"/>
      <c r="E49" s="4"/>
      <c r="F49" s="4">
        <v>4</v>
      </c>
      <c r="G49" s="4"/>
      <c r="H49" s="4"/>
      <c r="I49" s="4"/>
      <c r="J49" s="4"/>
      <c r="K49" s="2">
        <f t="shared" si="0"/>
        <v>4</v>
      </c>
      <c r="L49" s="3" t="s">
        <v>219</v>
      </c>
      <c r="M49" s="3">
        <v>1</v>
      </c>
      <c r="N49" s="3"/>
      <c r="O49" s="3"/>
      <c r="P49" s="3"/>
      <c r="Q49" s="3"/>
      <c r="R49" s="3"/>
      <c r="S49" s="3"/>
      <c r="T49" s="3"/>
      <c r="U49" s="2">
        <f t="shared" si="1"/>
        <v>0</v>
      </c>
      <c r="V49" s="3" t="s">
        <v>324</v>
      </c>
      <c r="W49" s="13">
        <f t="shared" si="2"/>
        <v>4</v>
      </c>
      <c r="X49" s="13" cm="1">
        <f t="array" ref="X49">levdist(B49,V49)</f>
        <v>82</v>
      </c>
    </row>
    <row r="50" spans="1:24" ht="75.75" thickBot="1" x14ac:dyDescent="0.3">
      <c r="A50" s="3" t="s">
        <v>78</v>
      </c>
      <c r="B50" s="4" t="s">
        <v>79</v>
      </c>
      <c r="C50" s="4"/>
      <c r="D50" s="4"/>
      <c r="E50" s="4"/>
      <c r="F50" s="4"/>
      <c r="G50" s="4"/>
      <c r="H50" s="4"/>
      <c r="I50" s="4">
        <v>2</v>
      </c>
      <c r="J50" s="4"/>
      <c r="K50" s="2">
        <f t="shared" si="0"/>
        <v>2</v>
      </c>
      <c r="L50" s="3" t="s">
        <v>220</v>
      </c>
      <c r="M50" s="3"/>
      <c r="N50" s="3"/>
      <c r="O50" s="3"/>
      <c r="P50" s="3"/>
      <c r="Q50" s="3"/>
      <c r="R50" s="3"/>
      <c r="S50" s="3">
        <v>2</v>
      </c>
      <c r="T50" s="3"/>
      <c r="U50" s="2">
        <f t="shared" si="1"/>
        <v>2</v>
      </c>
      <c r="V50" s="3" t="s">
        <v>325</v>
      </c>
      <c r="W50" s="13">
        <f t="shared" si="2"/>
        <v>2</v>
      </c>
      <c r="X50" s="13" cm="1">
        <f t="array" ref="X50">levdist(B50,V50)</f>
        <v>52</v>
      </c>
    </row>
    <row r="51" spans="1:24" ht="105.75" thickBot="1" x14ac:dyDescent="0.3">
      <c r="A51" s="3" t="s">
        <v>80</v>
      </c>
      <c r="B51" s="4" t="s">
        <v>81</v>
      </c>
      <c r="C51" s="4"/>
      <c r="D51" s="4"/>
      <c r="E51" s="4"/>
      <c r="F51" s="4">
        <v>4</v>
      </c>
      <c r="G51" s="4"/>
      <c r="H51" s="4">
        <v>8</v>
      </c>
      <c r="I51" s="4"/>
      <c r="J51" s="4"/>
      <c r="K51" s="2">
        <f t="shared" si="0"/>
        <v>12</v>
      </c>
      <c r="L51" s="3" t="s">
        <v>221</v>
      </c>
      <c r="M51" s="3"/>
      <c r="N51" s="3"/>
      <c r="O51" s="3"/>
      <c r="P51" s="3">
        <v>4</v>
      </c>
      <c r="Q51" s="3"/>
      <c r="R51" s="3">
        <v>8</v>
      </c>
      <c r="S51" s="3"/>
      <c r="T51" s="3"/>
      <c r="U51" s="2">
        <f t="shared" si="1"/>
        <v>12</v>
      </c>
      <c r="V51" s="3" t="s">
        <v>326</v>
      </c>
      <c r="W51" s="13">
        <f t="shared" si="2"/>
        <v>12</v>
      </c>
      <c r="X51" s="13" cm="1">
        <f t="array" ref="X51">levdist(B51,V51)</f>
        <v>143</v>
      </c>
    </row>
    <row r="52" spans="1:24" ht="75.75" thickBot="1" x14ac:dyDescent="0.3">
      <c r="A52" s="3" t="s">
        <v>82</v>
      </c>
      <c r="B52" s="4" t="s">
        <v>83</v>
      </c>
      <c r="C52" s="4"/>
      <c r="D52" s="4"/>
      <c r="E52" s="4">
        <v>4</v>
      </c>
      <c r="F52" s="4"/>
      <c r="G52" s="4"/>
      <c r="H52" s="4">
        <v>8</v>
      </c>
      <c r="I52" s="4"/>
      <c r="J52" s="4"/>
      <c r="K52" s="2">
        <f t="shared" si="0"/>
        <v>12</v>
      </c>
      <c r="L52" s="3" t="s">
        <v>222</v>
      </c>
      <c r="M52" s="3"/>
      <c r="N52" s="3"/>
      <c r="O52" s="3"/>
      <c r="P52" s="3">
        <v>2</v>
      </c>
      <c r="Q52" s="3"/>
      <c r="R52" s="3"/>
      <c r="S52" s="3"/>
      <c r="T52" s="3"/>
      <c r="U52" s="2">
        <f t="shared" si="1"/>
        <v>2</v>
      </c>
      <c r="V52" s="3" t="s">
        <v>327</v>
      </c>
      <c r="W52" s="13">
        <f t="shared" si="2"/>
        <v>12</v>
      </c>
      <c r="X52" s="13" cm="1">
        <f t="array" ref="X52">levdist(B52,V52)</f>
        <v>131</v>
      </c>
    </row>
    <row r="53" spans="1:24" ht="75.75" thickBot="1" x14ac:dyDescent="0.3">
      <c r="A53" s="3" t="s">
        <v>429</v>
      </c>
      <c r="B53" s="4" t="s">
        <v>84</v>
      </c>
      <c r="C53" s="4"/>
      <c r="D53" s="4"/>
      <c r="E53" s="4"/>
      <c r="F53" s="4">
        <v>4</v>
      </c>
      <c r="G53" s="4">
        <v>4</v>
      </c>
      <c r="H53" s="4"/>
      <c r="I53" s="4"/>
      <c r="J53" s="4"/>
      <c r="K53" s="2">
        <f t="shared" si="0"/>
        <v>8</v>
      </c>
      <c r="L53" s="3" t="s">
        <v>223</v>
      </c>
      <c r="M53" s="3"/>
      <c r="N53" s="3"/>
      <c r="O53" s="3"/>
      <c r="P53" s="3">
        <v>4</v>
      </c>
      <c r="Q53" s="3">
        <v>4</v>
      </c>
      <c r="R53" s="3"/>
      <c r="S53" s="3"/>
      <c r="T53" s="3"/>
      <c r="U53" s="2">
        <f t="shared" si="1"/>
        <v>8</v>
      </c>
      <c r="V53" s="3" t="s">
        <v>328</v>
      </c>
      <c r="W53" s="13">
        <f t="shared" si="2"/>
        <v>8</v>
      </c>
      <c r="X53" s="13" cm="1">
        <f t="array" ref="X53">levdist(B53,V53)</f>
        <v>106</v>
      </c>
    </row>
    <row r="54" spans="1:24" ht="150.75" thickBot="1" x14ac:dyDescent="0.3">
      <c r="A54" s="3" t="s">
        <v>430</v>
      </c>
      <c r="B54" s="4" t="s">
        <v>85</v>
      </c>
      <c r="C54" s="4"/>
      <c r="D54" s="4"/>
      <c r="E54" s="4"/>
      <c r="F54" s="4">
        <v>4</v>
      </c>
      <c r="G54" s="4">
        <v>4</v>
      </c>
      <c r="H54" s="4"/>
      <c r="I54" s="4"/>
      <c r="J54" s="4"/>
      <c r="K54" s="2">
        <f t="shared" si="0"/>
        <v>8</v>
      </c>
      <c r="L54" s="3" t="s">
        <v>224</v>
      </c>
      <c r="M54" s="3"/>
      <c r="N54" s="3"/>
      <c r="O54" s="3"/>
      <c r="P54" s="3">
        <v>4</v>
      </c>
      <c r="Q54" s="3">
        <v>4</v>
      </c>
      <c r="R54" s="3"/>
      <c r="S54" s="3"/>
      <c r="T54" s="3"/>
      <c r="U54" s="2">
        <f t="shared" si="1"/>
        <v>8</v>
      </c>
      <c r="V54" s="3" t="s">
        <v>329</v>
      </c>
      <c r="W54" s="13">
        <f t="shared" si="2"/>
        <v>8</v>
      </c>
      <c r="X54" s="13" cm="1">
        <f t="array" ref="X54">levdist(B54,V54)</f>
        <v>193</v>
      </c>
    </row>
    <row r="55" spans="1:24" ht="45.75" thickBot="1" x14ac:dyDescent="0.3">
      <c r="A55" s="1" t="s">
        <v>431</v>
      </c>
      <c r="B55" s="2" t="s">
        <v>86</v>
      </c>
      <c r="C55" s="2"/>
      <c r="D55" s="2"/>
      <c r="E55" s="2"/>
      <c r="F55" s="2"/>
      <c r="G55" s="2">
        <v>8</v>
      </c>
      <c r="H55" s="2"/>
      <c r="I55" s="2"/>
      <c r="J55" s="2"/>
      <c r="K55" s="2">
        <f t="shared" si="0"/>
        <v>8</v>
      </c>
      <c r="L55" s="1" t="s">
        <v>225</v>
      </c>
      <c r="M55" s="1"/>
      <c r="N55" s="1"/>
      <c r="O55" s="1"/>
      <c r="P55" s="1"/>
      <c r="Q55" s="1">
        <v>8</v>
      </c>
      <c r="R55" s="1"/>
      <c r="S55" s="1"/>
      <c r="T55" s="1"/>
      <c r="U55" s="2">
        <f t="shared" si="1"/>
        <v>8</v>
      </c>
      <c r="V55" s="1" t="s">
        <v>331</v>
      </c>
      <c r="W55" s="13">
        <f t="shared" si="2"/>
        <v>8</v>
      </c>
      <c r="X55" s="13" cm="1">
        <f t="array" ref="X55">levdist(B55,V55)</f>
        <v>58</v>
      </c>
    </row>
    <row r="56" spans="1:24" ht="90.75" thickBot="1" x14ac:dyDescent="0.3">
      <c r="A56" s="3" t="s">
        <v>87</v>
      </c>
      <c r="B56" s="4" t="s">
        <v>88</v>
      </c>
      <c r="C56" s="4"/>
      <c r="D56" s="4">
        <v>8</v>
      </c>
      <c r="E56" s="4"/>
      <c r="F56" s="4"/>
      <c r="G56" s="4"/>
      <c r="H56" s="4"/>
      <c r="I56" s="4"/>
      <c r="J56" s="4"/>
      <c r="K56" s="2">
        <f t="shared" si="0"/>
        <v>8</v>
      </c>
      <c r="L56" s="3" t="s">
        <v>226</v>
      </c>
      <c r="M56" s="3"/>
      <c r="N56" s="3">
        <v>8</v>
      </c>
      <c r="O56" s="3"/>
      <c r="P56" s="3"/>
      <c r="Q56" s="3"/>
      <c r="R56" s="3"/>
      <c r="S56" s="3"/>
      <c r="T56" s="3"/>
      <c r="U56" s="2">
        <f t="shared" si="1"/>
        <v>8</v>
      </c>
      <c r="V56" s="3" t="s">
        <v>332</v>
      </c>
      <c r="W56" s="13">
        <f t="shared" si="2"/>
        <v>8</v>
      </c>
      <c r="X56" s="13" cm="1">
        <f t="array" ref="X56">levdist(B56,V56)</f>
        <v>224</v>
      </c>
    </row>
    <row r="57" spans="1:24" ht="30.75" thickBot="1" x14ac:dyDescent="0.3">
      <c r="A57" s="3" t="s">
        <v>89</v>
      </c>
      <c r="B57" s="4" t="s">
        <v>90</v>
      </c>
      <c r="C57" s="4"/>
      <c r="D57" s="4"/>
      <c r="E57" s="4">
        <v>2</v>
      </c>
      <c r="F57" s="4"/>
      <c r="G57" s="4"/>
      <c r="H57" s="4"/>
      <c r="I57" s="4"/>
      <c r="J57" s="4"/>
      <c r="K57" s="2">
        <f t="shared" si="0"/>
        <v>2</v>
      </c>
      <c r="L57" s="3" t="s">
        <v>227</v>
      </c>
      <c r="M57" s="3"/>
      <c r="N57" s="3"/>
      <c r="O57" s="3"/>
      <c r="P57" s="3">
        <v>4</v>
      </c>
      <c r="Q57" s="3">
        <v>4</v>
      </c>
      <c r="R57" s="3"/>
      <c r="S57" s="3"/>
      <c r="T57" s="3"/>
      <c r="U57" s="2">
        <f t="shared" si="1"/>
        <v>8</v>
      </c>
      <c r="V57" s="3" t="s">
        <v>333</v>
      </c>
      <c r="W57" s="13">
        <f t="shared" si="2"/>
        <v>2</v>
      </c>
      <c r="X57" s="13" cm="1">
        <f t="array" ref="X57">levdist(B57,V57)</f>
        <v>18</v>
      </c>
    </row>
    <row r="58" spans="1:24" ht="45.75" thickBot="1" x14ac:dyDescent="0.3">
      <c r="A58" s="3" t="s">
        <v>433</v>
      </c>
      <c r="B58" s="4" t="s">
        <v>91</v>
      </c>
      <c r="C58" s="4"/>
      <c r="D58" s="4"/>
      <c r="E58" s="4">
        <v>8</v>
      </c>
      <c r="F58" s="4"/>
      <c r="G58" s="4">
        <v>8</v>
      </c>
      <c r="H58" s="4"/>
      <c r="I58" s="4"/>
      <c r="J58" s="4"/>
      <c r="K58" s="2">
        <f t="shared" si="0"/>
        <v>16</v>
      </c>
      <c r="L58" s="3" t="s">
        <v>228</v>
      </c>
      <c r="M58" s="3"/>
      <c r="N58" s="3"/>
      <c r="O58" s="3"/>
      <c r="P58" s="3"/>
      <c r="Q58" s="3">
        <v>8</v>
      </c>
      <c r="R58" s="3"/>
      <c r="S58" s="3"/>
      <c r="T58" s="3"/>
      <c r="U58" s="2">
        <f t="shared" si="1"/>
        <v>8</v>
      </c>
      <c r="V58" s="3" t="s">
        <v>334</v>
      </c>
      <c r="W58" s="13">
        <f t="shared" si="2"/>
        <v>16</v>
      </c>
      <c r="X58" s="13" cm="1">
        <f t="array" ref="X58">levdist(B58,V58)</f>
        <v>67</v>
      </c>
    </row>
    <row r="59" spans="1:24" ht="90.75" thickBot="1" x14ac:dyDescent="0.3">
      <c r="A59" s="3" t="s">
        <v>92</v>
      </c>
      <c r="B59" s="4" t="s">
        <v>93</v>
      </c>
      <c r="C59" s="4"/>
      <c r="D59" s="4"/>
      <c r="E59" s="4">
        <v>8</v>
      </c>
      <c r="F59" s="4"/>
      <c r="G59" s="4"/>
      <c r="H59" s="4"/>
      <c r="I59" s="4"/>
      <c r="J59" s="4"/>
      <c r="K59" s="2">
        <f t="shared" si="0"/>
        <v>8</v>
      </c>
      <c r="L59" s="3" t="s">
        <v>229</v>
      </c>
      <c r="M59" s="3"/>
      <c r="N59" s="3"/>
      <c r="O59" s="3">
        <v>8</v>
      </c>
      <c r="P59" s="3"/>
      <c r="Q59" s="3">
        <v>4</v>
      </c>
      <c r="R59" s="3"/>
      <c r="S59" s="3"/>
      <c r="T59" s="3"/>
      <c r="U59" s="2">
        <f t="shared" si="1"/>
        <v>12</v>
      </c>
      <c r="V59" s="3" t="s">
        <v>335</v>
      </c>
      <c r="W59" s="13">
        <f t="shared" si="2"/>
        <v>8</v>
      </c>
      <c r="X59" s="13" cm="1">
        <f t="array" ref="X59">levdist(B59,V59)</f>
        <v>142</v>
      </c>
    </row>
    <row r="60" spans="1:24" ht="90.75" thickBot="1" x14ac:dyDescent="0.3">
      <c r="A60" s="3" t="s">
        <v>434</v>
      </c>
      <c r="B60" s="4" t="s">
        <v>397</v>
      </c>
      <c r="C60" s="4"/>
      <c r="D60" s="4"/>
      <c r="E60" s="4"/>
      <c r="F60" s="4"/>
      <c r="G60" s="4">
        <v>16</v>
      </c>
      <c r="H60" s="4"/>
      <c r="I60" s="4"/>
      <c r="J60" s="4"/>
      <c r="K60" s="2">
        <f t="shared" si="0"/>
        <v>16</v>
      </c>
      <c r="L60" s="3" t="s">
        <v>230</v>
      </c>
      <c r="M60" s="3"/>
      <c r="N60" s="3"/>
      <c r="O60" s="3"/>
      <c r="P60" s="3"/>
      <c r="Q60" s="3">
        <v>4</v>
      </c>
      <c r="R60" s="3"/>
      <c r="S60" s="3"/>
      <c r="T60" s="3"/>
      <c r="U60" s="2">
        <f t="shared" si="1"/>
        <v>4</v>
      </c>
      <c r="V60" s="3" t="s">
        <v>336</v>
      </c>
      <c r="W60" s="13">
        <f t="shared" si="2"/>
        <v>16</v>
      </c>
      <c r="X60" s="13" cm="1">
        <f t="array" ref="X60">levdist(B60,V60)</f>
        <v>96</v>
      </c>
    </row>
    <row r="61" spans="1:24" ht="45.75" thickBot="1" x14ac:dyDescent="0.3">
      <c r="A61" s="3" t="s">
        <v>435</v>
      </c>
      <c r="B61" s="4" t="s">
        <v>94</v>
      </c>
      <c r="C61" s="4"/>
      <c r="D61" s="4">
        <v>4</v>
      </c>
      <c r="E61" s="4"/>
      <c r="F61" s="4"/>
      <c r="G61" s="4">
        <v>4</v>
      </c>
      <c r="H61" s="4"/>
      <c r="I61" s="4"/>
      <c r="J61" s="4"/>
      <c r="K61" s="2">
        <f t="shared" si="0"/>
        <v>8</v>
      </c>
      <c r="L61" s="3" t="s">
        <v>396</v>
      </c>
      <c r="M61" s="3"/>
      <c r="N61" s="3"/>
      <c r="O61" s="3">
        <v>16</v>
      </c>
      <c r="P61" s="3"/>
      <c r="Q61" s="3">
        <v>4</v>
      </c>
      <c r="R61" s="3"/>
      <c r="S61" s="3"/>
      <c r="T61" s="3"/>
      <c r="U61" s="2">
        <f t="shared" si="1"/>
        <v>20</v>
      </c>
      <c r="V61" s="3" t="s">
        <v>337</v>
      </c>
      <c r="W61" s="13">
        <f t="shared" si="2"/>
        <v>8</v>
      </c>
      <c r="X61" s="13" cm="1">
        <f t="array" ref="X61">levdist(B61,V61)</f>
        <v>76</v>
      </c>
    </row>
    <row r="62" spans="1:24" ht="105.75" thickBot="1" x14ac:dyDescent="0.3">
      <c r="A62" s="3" t="s">
        <v>95</v>
      </c>
      <c r="B62" s="4" t="s">
        <v>96</v>
      </c>
      <c r="C62" s="4"/>
      <c r="D62" s="4"/>
      <c r="E62" s="4"/>
      <c r="F62" s="4">
        <v>4</v>
      </c>
      <c r="G62" s="4"/>
      <c r="H62" s="4"/>
      <c r="I62" s="4"/>
      <c r="J62" s="4"/>
      <c r="K62" s="2">
        <f t="shared" si="0"/>
        <v>4</v>
      </c>
      <c r="L62" s="3" t="s">
        <v>231</v>
      </c>
      <c r="M62" s="3"/>
      <c r="N62" s="3"/>
      <c r="O62" s="3"/>
      <c r="P62" s="3">
        <v>4</v>
      </c>
      <c r="Q62" s="3"/>
      <c r="R62" s="3"/>
      <c r="S62" s="3"/>
      <c r="T62" s="3"/>
      <c r="U62" s="2">
        <f t="shared" si="1"/>
        <v>4</v>
      </c>
      <c r="V62" s="3" t="s">
        <v>353</v>
      </c>
      <c r="W62" s="13">
        <f t="shared" si="2"/>
        <v>4</v>
      </c>
      <c r="X62" s="13" cm="1">
        <f t="array" ref="X62">levdist(B62,V62)</f>
        <v>103</v>
      </c>
    </row>
    <row r="63" spans="1:24" ht="75.75" thickBot="1" x14ac:dyDescent="0.3">
      <c r="A63" s="3" t="s">
        <v>97</v>
      </c>
      <c r="B63" s="4" t="s">
        <v>98</v>
      </c>
      <c r="C63" s="4">
        <v>1</v>
      </c>
      <c r="D63" s="4"/>
      <c r="E63" s="4"/>
      <c r="F63" s="4"/>
      <c r="G63" s="4"/>
      <c r="H63" s="4"/>
      <c r="I63" s="4"/>
      <c r="J63" s="4"/>
      <c r="K63" s="2">
        <f t="shared" si="0"/>
        <v>0</v>
      </c>
      <c r="L63" s="3" t="s">
        <v>232</v>
      </c>
      <c r="M63" s="3">
        <v>1</v>
      </c>
      <c r="N63" s="3"/>
      <c r="O63" s="3"/>
      <c r="P63" s="3"/>
      <c r="Q63" s="3"/>
      <c r="R63" s="3"/>
      <c r="S63" s="3"/>
      <c r="T63" s="3"/>
      <c r="U63" s="2">
        <f t="shared" si="1"/>
        <v>0</v>
      </c>
      <c r="V63" s="3" t="s">
        <v>354</v>
      </c>
      <c r="W63" s="13">
        <f t="shared" si="2"/>
        <v>0</v>
      </c>
      <c r="X63" s="13" cm="1">
        <f t="array" ref="X63">levdist(B63,V63)</f>
        <v>144</v>
      </c>
    </row>
    <row r="64" spans="1:24" ht="90.75" thickBot="1" x14ac:dyDescent="0.3">
      <c r="A64" s="3" t="s">
        <v>99</v>
      </c>
      <c r="B64" s="4" t="s">
        <v>398</v>
      </c>
      <c r="C64" s="4"/>
      <c r="D64" s="4"/>
      <c r="E64" s="4">
        <v>16</v>
      </c>
      <c r="F64" s="4"/>
      <c r="G64" s="4"/>
      <c r="H64" s="4"/>
      <c r="I64" s="4"/>
      <c r="J64" s="4"/>
      <c r="K64" s="2">
        <f t="shared" si="0"/>
        <v>16</v>
      </c>
      <c r="L64" s="3" t="s">
        <v>233</v>
      </c>
      <c r="M64" s="3"/>
      <c r="N64" s="3"/>
      <c r="O64" s="3">
        <v>4</v>
      </c>
      <c r="P64" s="3">
        <v>2</v>
      </c>
      <c r="Q64" s="3">
        <v>8</v>
      </c>
      <c r="R64" s="3"/>
      <c r="S64" s="3"/>
      <c r="T64" s="3"/>
      <c r="U64" s="2">
        <f t="shared" si="1"/>
        <v>14</v>
      </c>
      <c r="V64" s="3" t="s">
        <v>338</v>
      </c>
      <c r="W64" s="13">
        <f t="shared" si="2"/>
        <v>16</v>
      </c>
      <c r="X64" s="13" cm="1">
        <f t="array" ref="X64">levdist(B64,V64)</f>
        <v>126</v>
      </c>
    </row>
    <row r="65" spans="1:24" ht="45.75" thickBot="1" x14ac:dyDescent="0.3">
      <c r="A65" s="3" t="s">
        <v>100</v>
      </c>
      <c r="B65" s="4" t="s">
        <v>399</v>
      </c>
      <c r="C65" s="4"/>
      <c r="D65" s="4"/>
      <c r="E65" s="4">
        <v>16</v>
      </c>
      <c r="F65" s="4"/>
      <c r="G65" s="4"/>
      <c r="H65" s="4"/>
      <c r="I65" s="4"/>
      <c r="J65" s="4"/>
      <c r="K65" s="2">
        <f t="shared" si="0"/>
        <v>16</v>
      </c>
      <c r="L65" s="3" t="s">
        <v>400</v>
      </c>
      <c r="M65" s="3"/>
      <c r="N65" s="3"/>
      <c r="O65" s="3">
        <v>16</v>
      </c>
      <c r="P65" s="3"/>
      <c r="Q65" s="3"/>
      <c r="R65" s="3"/>
      <c r="S65" s="3"/>
      <c r="T65" s="3"/>
      <c r="U65" s="2">
        <f t="shared" si="1"/>
        <v>16</v>
      </c>
      <c r="V65" s="3" t="s">
        <v>339</v>
      </c>
      <c r="W65" s="13">
        <f t="shared" si="2"/>
        <v>16</v>
      </c>
      <c r="X65" s="13" cm="1">
        <f t="array" ref="X65">levdist(B65,V65)</f>
        <v>45</v>
      </c>
    </row>
    <row r="66" spans="1:24" ht="105.75" thickBot="1" x14ac:dyDescent="0.3">
      <c r="A66" s="3" t="s">
        <v>436</v>
      </c>
      <c r="B66" s="4" t="s">
        <v>101</v>
      </c>
      <c r="C66" s="4"/>
      <c r="D66" s="4"/>
      <c r="E66" s="4"/>
      <c r="F66" s="4"/>
      <c r="G66" s="4">
        <v>16</v>
      </c>
      <c r="H66" s="4"/>
      <c r="I66" s="4"/>
      <c r="J66" s="4"/>
      <c r="K66" s="2">
        <f t="shared" si="0"/>
        <v>16</v>
      </c>
      <c r="L66" s="3" t="s">
        <v>401</v>
      </c>
      <c r="M66" s="3"/>
      <c r="N66" s="3"/>
      <c r="O66" s="3">
        <v>16</v>
      </c>
      <c r="P66" s="3"/>
      <c r="Q66" s="3">
        <v>8</v>
      </c>
      <c r="R66" s="3">
        <v>8</v>
      </c>
      <c r="S66" s="3"/>
      <c r="T66" s="3">
        <v>2</v>
      </c>
      <c r="U66" s="2">
        <f t="shared" si="1"/>
        <v>34</v>
      </c>
      <c r="V66" s="3" t="s">
        <v>340</v>
      </c>
      <c r="W66" s="13">
        <f t="shared" si="2"/>
        <v>16</v>
      </c>
      <c r="X66" s="13" cm="1">
        <f t="array" ref="X66">levdist(B66,V66)</f>
        <v>102</v>
      </c>
    </row>
    <row r="67" spans="1:24" ht="60.75" thickBot="1" x14ac:dyDescent="0.3">
      <c r="A67" s="3" t="s">
        <v>102</v>
      </c>
      <c r="B67" s="4" t="s">
        <v>103</v>
      </c>
      <c r="C67" s="4"/>
      <c r="D67" s="4"/>
      <c r="E67" s="4">
        <v>2</v>
      </c>
      <c r="F67" s="4"/>
      <c r="G67" s="4"/>
      <c r="H67" s="4"/>
      <c r="I67" s="4"/>
      <c r="J67" s="4">
        <v>2</v>
      </c>
      <c r="K67" s="2">
        <f t="shared" ref="K67:K112" si="3">SUM(D67:J67)</f>
        <v>4</v>
      </c>
      <c r="L67" s="3" t="s">
        <v>234</v>
      </c>
      <c r="M67" s="3"/>
      <c r="N67" s="3">
        <v>2</v>
      </c>
      <c r="O67" s="3"/>
      <c r="P67" s="3"/>
      <c r="Q67" s="3"/>
      <c r="R67" s="3"/>
      <c r="S67" s="3"/>
      <c r="T67" s="3">
        <v>2</v>
      </c>
      <c r="U67" s="2">
        <f t="shared" ref="U67:U112" si="4">SUM(N67:T67)</f>
        <v>4</v>
      </c>
      <c r="V67" s="3" t="s">
        <v>341</v>
      </c>
      <c r="W67" s="13">
        <f t="shared" ref="W67:W112" si="5">K67</f>
        <v>4</v>
      </c>
      <c r="X67" s="13" cm="1">
        <f t="array" ref="X67">levdist(B67,V67)</f>
        <v>16</v>
      </c>
    </row>
    <row r="68" spans="1:24" ht="75.75" thickBot="1" x14ac:dyDescent="0.3">
      <c r="A68" s="3" t="s">
        <v>437</v>
      </c>
      <c r="B68" s="4" t="s">
        <v>104</v>
      </c>
      <c r="C68" s="4"/>
      <c r="D68" s="4"/>
      <c r="E68" s="4"/>
      <c r="F68" s="4">
        <v>2</v>
      </c>
      <c r="G68" s="4">
        <v>8</v>
      </c>
      <c r="H68" s="4"/>
      <c r="I68" s="4"/>
      <c r="J68" s="4"/>
      <c r="K68" s="2">
        <f t="shared" si="3"/>
        <v>10</v>
      </c>
      <c r="L68" s="3" t="s">
        <v>235</v>
      </c>
      <c r="M68" s="3"/>
      <c r="N68" s="3"/>
      <c r="O68" s="3"/>
      <c r="P68" s="3"/>
      <c r="Q68" s="3">
        <v>4</v>
      </c>
      <c r="R68" s="3"/>
      <c r="S68" s="3"/>
      <c r="T68" s="3"/>
      <c r="U68" s="2">
        <f t="shared" si="4"/>
        <v>4</v>
      </c>
      <c r="V68" s="3" t="s">
        <v>342</v>
      </c>
      <c r="W68" s="13">
        <f t="shared" si="5"/>
        <v>10</v>
      </c>
      <c r="X68" s="13" cm="1">
        <f t="array" ref="X68">levdist(B68,V68)</f>
        <v>84</v>
      </c>
    </row>
    <row r="69" spans="1:24" ht="45.75" thickBot="1" x14ac:dyDescent="0.3">
      <c r="A69" s="3" t="s">
        <v>438</v>
      </c>
      <c r="B69" s="4" t="s">
        <v>105</v>
      </c>
      <c r="C69" s="4"/>
      <c r="D69" s="4">
        <v>4</v>
      </c>
      <c r="E69" s="4"/>
      <c r="F69" s="4">
        <v>2</v>
      </c>
      <c r="G69" s="4">
        <v>4</v>
      </c>
      <c r="H69" s="4"/>
      <c r="I69" s="4"/>
      <c r="J69" s="4">
        <v>2</v>
      </c>
      <c r="K69" s="2">
        <f t="shared" si="3"/>
        <v>12</v>
      </c>
      <c r="L69" s="3" t="s">
        <v>236</v>
      </c>
      <c r="M69" s="3"/>
      <c r="N69" s="3"/>
      <c r="O69" s="3"/>
      <c r="P69" s="3">
        <v>2</v>
      </c>
      <c r="Q69" s="3">
        <v>4</v>
      </c>
      <c r="R69" s="3"/>
      <c r="S69" s="3"/>
      <c r="T69" s="3"/>
      <c r="U69" s="2">
        <f t="shared" si="4"/>
        <v>6</v>
      </c>
      <c r="V69" s="3" t="s">
        <v>343</v>
      </c>
      <c r="W69" s="13">
        <f t="shared" si="5"/>
        <v>12</v>
      </c>
      <c r="X69" s="13" cm="1">
        <f t="array" ref="X69">levdist(B69,V69)</f>
        <v>77</v>
      </c>
    </row>
    <row r="70" spans="1:24" ht="30.75" thickBot="1" x14ac:dyDescent="0.3">
      <c r="A70" s="3" t="s">
        <v>439</v>
      </c>
      <c r="B70" s="4" t="s">
        <v>106</v>
      </c>
      <c r="C70" s="4"/>
      <c r="D70" s="4"/>
      <c r="E70" s="4"/>
      <c r="F70" s="4">
        <v>2</v>
      </c>
      <c r="G70" s="4">
        <v>4</v>
      </c>
      <c r="H70" s="4"/>
      <c r="I70" s="4"/>
      <c r="J70" s="4"/>
      <c r="K70" s="2">
        <f t="shared" si="3"/>
        <v>6</v>
      </c>
      <c r="L70" s="3" t="s">
        <v>237</v>
      </c>
      <c r="M70" s="3"/>
      <c r="N70" s="3"/>
      <c r="O70" s="3"/>
      <c r="P70" s="3">
        <v>2</v>
      </c>
      <c r="Q70" s="3"/>
      <c r="R70" s="3"/>
      <c r="S70" s="3"/>
      <c r="T70" s="3"/>
      <c r="U70" s="2">
        <f t="shared" si="4"/>
        <v>2</v>
      </c>
      <c r="V70" s="3" t="s">
        <v>344</v>
      </c>
      <c r="W70" s="13">
        <f t="shared" si="5"/>
        <v>6</v>
      </c>
      <c r="X70" s="13" cm="1">
        <f t="array" ref="X70">levdist(B70,V70)</f>
        <v>65</v>
      </c>
    </row>
    <row r="71" spans="1:24" ht="105.75" thickBot="1" x14ac:dyDescent="0.3">
      <c r="A71" s="3" t="s">
        <v>440</v>
      </c>
      <c r="B71" s="4" t="s">
        <v>107</v>
      </c>
      <c r="C71" s="4"/>
      <c r="D71" s="4"/>
      <c r="E71" s="4">
        <v>2</v>
      </c>
      <c r="F71" s="4">
        <v>4</v>
      </c>
      <c r="G71" s="4">
        <v>4</v>
      </c>
      <c r="H71" s="4"/>
      <c r="I71" s="4"/>
      <c r="J71" s="4"/>
      <c r="K71" s="2">
        <f t="shared" si="3"/>
        <v>10</v>
      </c>
      <c r="L71" s="3" t="s">
        <v>238</v>
      </c>
      <c r="M71" s="3"/>
      <c r="N71" s="3"/>
      <c r="O71" s="3">
        <v>2</v>
      </c>
      <c r="P71" s="3">
        <v>2</v>
      </c>
      <c r="Q71" s="3"/>
      <c r="R71" s="3"/>
      <c r="S71" s="3"/>
      <c r="T71" s="3"/>
      <c r="U71" s="2">
        <f t="shared" si="4"/>
        <v>4</v>
      </c>
      <c r="V71" s="3" t="s">
        <v>345</v>
      </c>
      <c r="W71" s="13">
        <f t="shared" si="5"/>
        <v>10</v>
      </c>
      <c r="X71" s="13" cm="1">
        <f t="array" ref="X71">levdist(B71,V71)</f>
        <v>181</v>
      </c>
    </row>
    <row r="72" spans="1:24" ht="105.75" thickBot="1" x14ac:dyDescent="0.3">
      <c r="A72" s="3" t="s">
        <v>108</v>
      </c>
      <c r="B72" s="4" t="s">
        <v>441</v>
      </c>
      <c r="C72" s="4"/>
      <c r="D72" s="4"/>
      <c r="E72" s="4"/>
      <c r="F72" s="4"/>
      <c r="G72" s="4">
        <v>8</v>
      </c>
      <c r="H72" s="4"/>
      <c r="I72" s="4"/>
      <c r="J72" s="4"/>
      <c r="K72" s="2">
        <f t="shared" si="3"/>
        <v>8</v>
      </c>
      <c r="L72" s="3" t="s">
        <v>239</v>
      </c>
      <c r="M72" s="3"/>
      <c r="N72" s="3"/>
      <c r="O72" s="3">
        <v>2</v>
      </c>
      <c r="P72" s="3"/>
      <c r="Q72" s="3">
        <v>8</v>
      </c>
      <c r="R72" s="3"/>
      <c r="S72" s="3"/>
      <c r="T72" s="3"/>
      <c r="U72" s="2">
        <f t="shared" si="4"/>
        <v>10</v>
      </c>
      <c r="V72" s="3" t="s">
        <v>346</v>
      </c>
      <c r="W72" s="13">
        <f t="shared" si="5"/>
        <v>8</v>
      </c>
      <c r="X72" s="13" cm="1">
        <f t="array" ref="X72">levdist(B72,V72)</f>
        <v>118</v>
      </c>
    </row>
    <row r="73" spans="1:24" ht="90.75" thickBot="1" x14ac:dyDescent="0.3">
      <c r="A73" s="3" t="s">
        <v>442</v>
      </c>
      <c r="B73" s="4" t="s">
        <v>109</v>
      </c>
      <c r="C73" s="4"/>
      <c r="D73" s="4"/>
      <c r="E73" s="4"/>
      <c r="F73" s="4">
        <v>4</v>
      </c>
      <c r="G73" s="4">
        <v>4</v>
      </c>
      <c r="H73" s="4"/>
      <c r="I73" s="4"/>
      <c r="J73" s="4"/>
      <c r="K73" s="2">
        <f t="shared" si="3"/>
        <v>8</v>
      </c>
      <c r="L73" s="3" t="s">
        <v>240</v>
      </c>
      <c r="M73" s="3"/>
      <c r="N73" s="3"/>
      <c r="O73" s="3"/>
      <c r="P73" s="3">
        <v>4</v>
      </c>
      <c r="Q73" s="3">
        <v>4</v>
      </c>
      <c r="R73" s="3"/>
      <c r="S73" s="3"/>
      <c r="T73" s="3"/>
      <c r="U73" s="2">
        <f t="shared" si="4"/>
        <v>8</v>
      </c>
      <c r="V73" s="3" t="s">
        <v>347</v>
      </c>
      <c r="W73" s="13">
        <f t="shared" si="5"/>
        <v>8</v>
      </c>
      <c r="X73" s="13" cm="1">
        <f t="array" ref="X73">levdist(B73,V73)</f>
        <v>110</v>
      </c>
    </row>
    <row r="74" spans="1:24" ht="90.75" thickBot="1" x14ac:dyDescent="0.3">
      <c r="A74" s="3" t="s">
        <v>443</v>
      </c>
      <c r="B74" s="4" t="s">
        <v>110</v>
      </c>
      <c r="C74" s="4"/>
      <c r="D74" s="4"/>
      <c r="E74" s="4">
        <v>4</v>
      </c>
      <c r="F74" s="4">
        <v>2</v>
      </c>
      <c r="G74" s="4">
        <v>8</v>
      </c>
      <c r="H74" s="4"/>
      <c r="I74" s="4"/>
      <c r="J74" s="4"/>
      <c r="K74" s="2">
        <f t="shared" si="3"/>
        <v>14</v>
      </c>
      <c r="L74" s="3" t="s">
        <v>241</v>
      </c>
      <c r="M74" s="3"/>
      <c r="N74" s="3"/>
      <c r="O74" s="3"/>
      <c r="P74" s="3">
        <v>4</v>
      </c>
      <c r="Q74" s="3"/>
      <c r="R74" s="3"/>
      <c r="S74" s="3"/>
      <c r="T74" s="3"/>
      <c r="U74" s="2">
        <f t="shared" si="4"/>
        <v>4</v>
      </c>
      <c r="V74" s="3" t="s">
        <v>348</v>
      </c>
      <c r="W74" s="13">
        <f t="shared" si="5"/>
        <v>14</v>
      </c>
      <c r="X74" s="13" cm="1">
        <f t="array" ref="X74">levdist(B74,V74)</f>
        <v>136</v>
      </c>
    </row>
    <row r="75" spans="1:24" ht="60.75" thickBot="1" x14ac:dyDescent="0.3">
      <c r="A75" s="3" t="s">
        <v>444</v>
      </c>
      <c r="B75" s="4" t="s">
        <v>111</v>
      </c>
      <c r="C75" s="4"/>
      <c r="D75" s="4"/>
      <c r="E75" s="4"/>
      <c r="F75" s="4"/>
      <c r="G75" s="4">
        <v>2</v>
      </c>
      <c r="H75" s="4"/>
      <c r="I75" s="4"/>
      <c r="J75" s="4"/>
      <c r="K75" s="2">
        <f t="shared" si="3"/>
        <v>2</v>
      </c>
      <c r="L75" s="3" t="s">
        <v>242</v>
      </c>
      <c r="M75" s="3"/>
      <c r="N75" s="3"/>
      <c r="O75" s="3"/>
      <c r="P75" s="3"/>
      <c r="Q75" s="3">
        <v>2</v>
      </c>
      <c r="R75" s="3"/>
      <c r="S75" s="3"/>
      <c r="T75" s="3"/>
      <c r="U75" s="2">
        <f t="shared" si="4"/>
        <v>2</v>
      </c>
      <c r="V75" s="3" t="s">
        <v>349</v>
      </c>
      <c r="W75" s="13">
        <f t="shared" si="5"/>
        <v>2</v>
      </c>
      <c r="X75" s="13" cm="1">
        <f t="array" ref="X75">levdist(B75,V75)</f>
        <v>63</v>
      </c>
    </row>
    <row r="76" spans="1:24" ht="45.75" thickBot="1" x14ac:dyDescent="0.3">
      <c r="A76" s="3" t="s">
        <v>445</v>
      </c>
      <c r="B76" s="4" t="s">
        <v>112</v>
      </c>
      <c r="C76" s="4"/>
      <c r="D76" s="4"/>
      <c r="E76" s="4"/>
      <c r="F76" s="4"/>
      <c r="G76" s="4">
        <v>4</v>
      </c>
      <c r="H76" s="4">
        <v>4</v>
      </c>
      <c r="I76" s="4"/>
      <c r="J76" s="4"/>
      <c r="K76" s="2">
        <f t="shared" si="3"/>
        <v>8</v>
      </c>
      <c r="L76" s="3" t="s">
        <v>243</v>
      </c>
      <c r="M76" s="3"/>
      <c r="N76" s="3"/>
      <c r="O76" s="3"/>
      <c r="P76" s="3">
        <v>2</v>
      </c>
      <c r="Q76" s="3"/>
      <c r="R76" s="3"/>
      <c r="S76" s="3"/>
      <c r="T76" s="3"/>
      <c r="U76" s="2">
        <f t="shared" si="4"/>
        <v>2</v>
      </c>
      <c r="V76" s="3" t="s">
        <v>350</v>
      </c>
      <c r="W76" s="13">
        <f t="shared" si="5"/>
        <v>8</v>
      </c>
      <c r="X76" s="13" cm="1">
        <f t="array" ref="X76">levdist(B76,V76)</f>
        <v>50</v>
      </c>
    </row>
    <row r="77" spans="1:24" ht="90.75" thickBot="1" x14ac:dyDescent="0.3">
      <c r="A77" s="3" t="s">
        <v>113</v>
      </c>
      <c r="B77" s="4" t="s">
        <v>114</v>
      </c>
      <c r="C77" s="4"/>
      <c r="D77" s="4"/>
      <c r="E77" s="4">
        <v>4</v>
      </c>
      <c r="F77" s="4">
        <v>2</v>
      </c>
      <c r="G77" s="4"/>
      <c r="H77" s="4"/>
      <c r="I77" s="4"/>
      <c r="J77" s="4"/>
      <c r="K77" s="2">
        <f t="shared" si="3"/>
        <v>6</v>
      </c>
      <c r="L77" s="3" t="s">
        <v>244</v>
      </c>
      <c r="M77" s="3"/>
      <c r="N77" s="3"/>
      <c r="O77" s="3">
        <v>4</v>
      </c>
      <c r="P77" s="3">
        <v>2</v>
      </c>
      <c r="Q77" s="3"/>
      <c r="R77" s="3"/>
      <c r="S77" s="3"/>
      <c r="T77" s="3"/>
      <c r="U77" s="2">
        <f t="shared" si="4"/>
        <v>6</v>
      </c>
      <c r="V77" s="3" t="s">
        <v>351</v>
      </c>
      <c r="W77" s="13">
        <f t="shared" si="5"/>
        <v>6</v>
      </c>
      <c r="X77" s="13" cm="1">
        <f t="array" ref="X77">levdist(B77,V77)</f>
        <v>209</v>
      </c>
    </row>
    <row r="78" spans="1:24" ht="60.75" thickBot="1" x14ac:dyDescent="0.3">
      <c r="A78" s="3" t="s">
        <v>115</v>
      </c>
      <c r="B78" s="4" t="s">
        <v>116</v>
      </c>
      <c r="C78" s="4">
        <v>1</v>
      </c>
      <c r="D78" s="4"/>
      <c r="E78" s="4"/>
      <c r="F78" s="4">
        <v>2</v>
      </c>
      <c r="G78" s="4"/>
      <c r="H78" s="4"/>
      <c r="I78" s="4"/>
      <c r="J78" s="4"/>
      <c r="K78" s="2">
        <f t="shared" si="3"/>
        <v>2</v>
      </c>
      <c r="L78" s="3" t="s">
        <v>245</v>
      </c>
      <c r="M78" s="3">
        <v>1</v>
      </c>
      <c r="N78" s="3"/>
      <c r="O78" s="3"/>
      <c r="P78" s="3">
        <v>2</v>
      </c>
      <c r="Q78" s="3"/>
      <c r="R78" s="3"/>
      <c r="S78" s="3"/>
      <c r="T78" s="3"/>
      <c r="U78" s="2">
        <f t="shared" si="4"/>
        <v>2</v>
      </c>
      <c r="V78" s="3" t="s">
        <v>352</v>
      </c>
      <c r="W78" s="13">
        <f t="shared" si="5"/>
        <v>2</v>
      </c>
      <c r="X78" s="13" cm="1">
        <f t="array" ref="X78">levdist(B78,V78)</f>
        <v>69</v>
      </c>
    </row>
    <row r="79" spans="1:24" ht="60.75" thickBot="1" x14ac:dyDescent="0.3">
      <c r="A79" s="1" t="s">
        <v>117</v>
      </c>
      <c r="B79" s="2" t="s">
        <v>118</v>
      </c>
      <c r="C79" s="2"/>
      <c r="D79" s="2"/>
      <c r="E79" s="2">
        <v>8</v>
      </c>
      <c r="F79" s="2">
        <v>2</v>
      </c>
      <c r="G79" s="2"/>
      <c r="H79" s="2"/>
      <c r="I79" s="2"/>
      <c r="J79" s="2"/>
      <c r="K79" s="2">
        <f t="shared" si="3"/>
        <v>10</v>
      </c>
      <c r="L79" s="1" t="s">
        <v>246</v>
      </c>
      <c r="M79" s="1"/>
      <c r="N79" s="1"/>
      <c r="O79" s="1">
        <v>8</v>
      </c>
      <c r="P79" s="1">
        <v>2</v>
      </c>
      <c r="Q79" s="1"/>
      <c r="R79" s="1"/>
      <c r="S79" s="1"/>
      <c r="T79" s="1"/>
      <c r="U79" s="2">
        <f t="shared" si="4"/>
        <v>10</v>
      </c>
      <c r="V79" s="1" t="s">
        <v>385</v>
      </c>
      <c r="W79" s="13">
        <f t="shared" si="5"/>
        <v>10</v>
      </c>
      <c r="X79" s="13" cm="1">
        <f t="array" ref="X79">levdist(B79,V79)</f>
        <v>46</v>
      </c>
    </row>
    <row r="80" spans="1:24" ht="60.75" thickBot="1" x14ac:dyDescent="0.3">
      <c r="A80" s="3" t="s">
        <v>119</v>
      </c>
      <c r="B80" s="4" t="s">
        <v>120</v>
      </c>
      <c r="C80" s="4"/>
      <c r="D80" s="4">
        <v>8</v>
      </c>
      <c r="E80" s="4">
        <v>4</v>
      </c>
      <c r="F80" s="4"/>
      <c r="G80" s="4"/>
      <c r="H80" s="4"/>
      <c r="I80" s="4"/>
      <c r="J80" s="4"/>
      <c r="K80" s="2">
        <f t="shared" si="3"/>
        <v>12</v>
      </c>
      <c r="L80" s="3" t="s">
        <v>247</v>
      </c>
      <c r="M80" s="3"/>
      <c r="N80" s="3">
        <v>8</v>
      </c>
      <c r="O80" s="3">
        <v>4</v>
      </c>
      <c r="P80" s="3"/>
      <c r="Q80" s="3"/>
      <c r="R80" s="3"/>
      <c r="S80" s="3"/>
      <c r="T80" s="3"/>
      <c r="U80" s="2">
        <f t="shared" si="4"/>
        <v>12</v>
      </c>
      <c r="V80" s="3" t="s">
        <v>355</v>
      </c>
      <c r="W80" s="13">
        <f t="shared" si="5"/>
        <v>12</v>
      </c>
      <c r="X80" s="13" cm="1">
        <f t="array" ref="X80">levdist(B80,V80)</f>
        <v>149</v>
      </c>
    </row>
    <row r="81" spans="1:24" ht="15.75" thickBot="1" x14ac:dyDescent="0.3">
      <c r="A81" s="3" t="s">
        <v>121</v>
      </c>
      <c r="B81" s="4" t="s">
        <v>122</v>
      </c>
      <c r="C81" s="4">
        <v>1</v>
      </c>
      <c r="D81" s="4"/>
      <c r="E81" s="4"/>
      <c r="F81" s="4"/>
      <c r="G81" s="4"/>
      <c r="H81" s="4"/>
      <c r="I81" s="4"/>
      <c r="J81" s="4"/>
      <c r="K81" s="2">
        <f t="shared" si="3"/>
        <v>0</v>
      </c>
      <c r="L81" s="3" t="s">
        <v>122</v>
      </c>
      <c r="M81" s="3">
        <v>1</v>
      </c>
      <c r="N81" s="3"/>
      <c r="O81" s="3"/>
      <c r="P81" s="3"/>
      <c r="Q81" s="3"/>
      <c r="R81" s="3"/>
      <c r="S81" s="3"/>
      <c r="T81" s="3"/>
      <c r="U81" s="2">
        <f t="shared" si="4"/>
        <v>0</v>
      </c>
      <c r="V81" s="3" t="s">
        <v>122</v>
      </c>
      <c r="W81" s="13">
        <f t="shared" si="5"/>
        <v>0</v>
      </c>
      <c r="X81" s="13" cm="1">
        <f t="array" ref="X81">levdist(B81,V81)</f>
        <v>0</v>
      </c>
    </row>
    <row r="82" spans="1:24" ht="60.75" thickBot="1" x14ac:dyDescent="0.3">
      <c r="A82" s="3" t="s">
        <v>123</v>
      </c>
      <c r="B82" s="4" t="s">
        <v>124</v>
      </c>
      <c r="C82" s="4"/>
      <c r="D82" s="4"/>
      <c r="E82" s="4"/>
      <c r="F82" s="4">
        <v>4</v>
      </c>
      <c r="G82" s="4"/>
      <c r="H82" s="4"/>
      <c r="I82" s="4"/>
      <c r="J82" s="4"/>
      <c r="K82" s="2">
        <f t="shared" si="3"/>
        <v>4</v>
      </c>
      <c r="L82" s="3" t="s">
        <v>248</v>
      </c>
      <c r="M82" s="3"/>
      <c r="N82" s="3"/>
      <c r="O82" s="3"/>
      <c r="P82" s="3">
        <v>4</v>
      </c>
      <c r="Q82" s="3"/>
      <c r="R82" s="3"/>
      <c r="S82" s="3"/>
      <c r="T82" s="3"/>
      <c r="U82" s="2">
        <f t="shared" si="4"/>
        <v>4</v>
      </c>
      <c r="V82" s="3" t="s">
        <v>356</v>
      </c>
      <c r="W82" s="13">
        <f t="shared" si="5"/>
        <v>4</v>
      </c>
      <c r="X82" s="13" cm="1">
        <f t="array" ref="X82">levdist(B82,V82)</f>
        <v>74</v>
      </c>
    </row>
    <row r="83" spans="1:24" ht="15.75" thickBot="1" x14ac:dyDescent="0.3">
      <c r="A83" s="3" t="s">
        <v>125</v>
      </c>
      <c r="B83" s="4" t="s">
        <v>126</v>
      </c>
      <c r="C83" s="4">
        <v>1</v>
      </c>
      <c r="D83" s="4"/>
      <c r="E83" s="4"/>
      <c r="F83" s="4"/>
      <c r="G83" s="4"/>
      <c r="H83" s="4"/>
      <c r="I83" s="4"/>
      <c r="J83" s="4"/>
      <c r="K83" s="2">
        <f t="shared" si="3"/>
        <v>0</v>
      </c>
      <c r="L83" s="3" t="s">
        <v>126</v>
      </c>
      <c r="M83" s="3">
        <v>1</v>
      </c>
      <c r="N83" s="3"/>
      <c r="O83" s="3"/>
      <c r="P83" s="3"/>
      <c r="Q83" s="3"/>
      <c r="R83" s="3"/>
      <c r="S83" s="3"/>
      <c r="T83" s="3"/>
      <c r="U83" s="2">
        <f t="shared" si="4"/>
        <v>0</v>
      </c>
      <c r="V83" s="3" t="s">
        <v>357</v>
      </c>
      <c r="W83" s="13">
        <f t="shared" si="5"/>
        <v>0</v>
      </c>
      <c r="X83" s="13" cm="1">
        <f t="array" ref="X83">levdist(B83,V83)</f>
        <v>6</v>
      </c>
    </row>
    <row r="84" spans="1:24" ht="60.75" thickBot="1" x14ac:dyDescent="0.3">
      <c r="A84" s="3" t="s">
        <v>127</v>
      </c>
      <c r="B84" s="4" t="s">
        <v>128</v>
      </c>
      <c r="C84" s="4"/>
      <c r="D84" s="4"/>
      <c r="E84" s="4"/>
      <c r="F84" s="4">
        <v>4</v>
      </c>
      <c r="G84" s="4"/>
      <c r="H84" s="4">
        <v>4</v>
      </c>
      <c r="I84" s="4"/>
      <c r="J84" s="4"/>
      <c r="K84" s="2">
        <f t="shared" si="3"/>
        <v>8</v>
      </c>
      <c r="L84" s="3" t="s">
        <v>249</v>
      </c>
      <c r="M84" s="3"/>
      <c r="N84" s="3"/>
      <c r="O84" s="3"/>
      <c r="P84" s="3">
        <v>4</v>
      </c>
      <c r="Q84" s="3">
        <v>2</v>
      </c>
      <c r="R84" s="3"/>
      <c r="S84" s="3"/>
      <c r="T84" s="3"/>
      <c r="U84" s="2">
        <f t="shared" si="4"/>
        <v>6</v>
      </c>
      <c r="V84" s="3" t="s">
        <v>386</v>
      </c>
      <c r="W84" s="13">
        <f t="shared" si="5"/>
        <v>8</v>
      </c>
      <c r="X84" s="13" cm="1">
        <f t="array" ref="X84">levdist(B84,V84)</f>
        <v>124</v>
      </c>
    </row>
    <row r="85" spans="1:24" ht="45.75" thickBot="1" x14ac:dyDescent="0.3">
      <c r="A85" s="3" t="s">
        <v>129</v>
      </c>
      <c r="B85" s="4" t="s">
        <v>130</v>
      </c>
      <c r="C85" s="4"/>
      <c r="D85" s="4"/>
      <c r="E85" s="4">
        <v>2</v>
      </c>
      <c r="F85" s="4">
        <v>4</v>
      </c>
      <c r="G85" s="4"/>
      <c r="H85" s="4"/>
      <c r="I85" s="4"/>
      <c r="J85" s="4"/>
      <c r="K85" s="2">
        <f t="shared" si="3"/>
        <v>6</v>
      </c>
      <c r="L85" s="3" t="s">
        <v>250</v>
      </c>
      <c r="M85" s="3"/>
      <c r="N85" s="3"/>
      <c r="O85" s="3"/>
      <c r="P85" s="3">
        <v>4</v>
      </c>
      <c r="Q85" s="3">
        <v>4</v>
      </c>
      <c r="R85" s="3"/>
      <c r="S85" s="3"/>
      <c r="T85" s="3"/>
      <c r="U85" s="2">
        <f t="shared" si="4"/>
        <v>8</v>
      </c>
      <c r="V85" s="3" t="s">
        <v>387</v>
      </c>
      <c r="W85" s="13">
        <f t="shared" si="5"/>
        <v>6</v>
      </c>
      <c r="X85" s="13" cm="1">
        <f t="array" ref="X85">levdist(B85,V85)</f>
        <v>53</v>
      </c>
    </row>
    <row r="86" spans="1:24" ht="120.75" thickBot="1" x14ac:dyDescent="0.3">
      <c r="A86" s="3" t="s">
        <v>446</v>
      </c>
      <c r="B86" s="4" t="s">
        <v>131</v>
      </c>
      <c r="C86" s="4"/>
      <c r="D86" s="4"/>
      <c r="E86" s="4">
        <v>2</v>
      </c>
      <c r="F86" s="4"/>
      <c r="G86" s="4">
        <v>4</v>
      </c>
      <c r="H86" s="4">
        <v>2</v>
      </c>
      <c r="I86" s="4"/>
      <c r="J86" s="4"/>
      <c r="K86" s="2">
        <f t="shared" si="3"/>
        <v>8</v>
      </c>
      <c r="L86" s="3" t="s">
        <v>251</v>
      </c>
      <c r="M86" s="3"/>
      <c r="N86" s="3"/>
      <c r="O86" s="3">
        <v>4</v>
      </c>
      <c r="P86" s="3"/>
      <c r="Q86" s="3">
        <v>2</v>
      </c>
      <c r="R86" s="3"/>
      <c r="S86" s="3"/>
      <c r="T86" s="3"/>
      <c r="U86" s="2">
        <f t="shared" si="4"/>
        <v>6</v>
      </c>
      <c r="V86" s="3" t="s">
        <v>358</v>
      </c>
      <c r="W86" s="13">
        <f t="shared" si="5"/>
        <v>8</v>
      </c>
      <c r="X86" s="13" cm="1">
        <f t="array" ref="X86">levdist(B86,V86)</f>
        <v>139</v>
      </c>
    </row>
    <row r="87" spans="1:24" ht="165.75" thickBot="1" x14ac:dyDescent="0.3">
      <c r="A87" s="3" t="s">
        <v>447</v>
      </c>
      <c r="B87" s="4" t="s">
        <v>132</v>
      </c>
      <c r="C87" s="4"/>
      <c r="D87" s="4"/>
      <c r="E87" s="4"/>
      <c r="F87" s="4"/>
      <c r="G87" s="4">
        <v>4</v>
      </c>
      <c r="H87" s="4"/>
      <c r="I87" s="4"/>
      <c r="J87" s="4"/>
      <c r="K87" s="2">
        <f t="shared" si="3"/>
        <v>4</v>
      </c>
      <c r="L87" s="3" t="s">
        <v>252</v>
      </c>
      <c r="M87" s="3"/>
      <c r="N87" s="3"/>
      <c r="O87" s="3"/>
      <c r="P87" s="3"/>
      <c r="Q87" s="3">
        <v>4</v>
      </c>
      <c r="R87" s="3"/>
      <c r="S87" s="3"/>
      <c r="T87" s="3">
        <v>2</v>
      </c>
      <c r="U87" s="2">
        <f t="shared" si="4"/>
        <v>6</v>
      </c>
      <c r="V87" s="3" t="s">
        <v>359</v>
      </c>
      <c r="W87" s="13">
        <f t="shared" si="5"/>
        <v>4</v>
      </c>
      <c r="X87" s="13" cm="1">
        <f t="array" ref="X87">levdist(B87,V87)</f>
        <v>163</v>
      </c>
    </row>
    <row r="88" spans="1:24" ht="60.75" thickBot="1" x14ac:dyDescent="0.3">
      <c r="A88" s="3" t="s">
        <v>448</v>
      </c>
      <c r="B88" s="4" t="s">
        <v>133</v>
      </c>
      <c r="C88" s="4"/>
      <c r="D88" s="4"/>
      <c r="E88" s="4"/>
      <c r="F88" s="4">
        <v>2</v>
      </c>
      <c r="G88" s="4">
        <v>2</v>
      </c>
      <c r="H88" s="4"/>
      <c r="I88" s="4"/>
      <c r="J88" s="4"/>
      <c r="K88" s="2">
        <f t="shared" si="3"/>
        <v>4</v>
      </c>
      <c r="L88" s="3" t="s">
        <v>253</v>
      </c>
      <c r="M88" s="3"/>
      <c r="N88" s="3"/>
      <c r="O88" s="3"/>
      <c r="P88" s="3">
        <v>2</v>
      </c>
      <c r="Q88" s="3"/>
      <c r="R88" s="3"/>
      <c r="S88" s="3"/>
      <c r="T88" s="3"/>
      <c r="U88" s="2">
        <f t="shared" si="4"/>
        <v>2</v>
      </c>
      <c r="V88" s="3" t="s">
        <v>360</v>
      </c>
      <c r="W88" s="13">
        <f t="shared" si="5"/>
        <v>4</v>
      </c>
      <c r="X88" s="13" cm="1">
        <f t="array" ref="X88">levdist(B88,V88)</f>
        <v>116</v>
      </c>
    </row>
    <row r="89" spans="1:24" ht="45.75" thickBot="1" x14ac:dyDescent="0.3">
      <c r="A89" s="3" t="s">
        <v>449</v>
      </c>
      <c r="B89" s="4" t="s">
        <v>134</v>
      </c>
      <c r="C89" s="4"/>
      <c r="D89" s="4"/>
      <c r="E89" s="4"/>
      <c r="F89" s="4"/>
      <c r="G89" s="4">
        <v>2</v>
      </c>
      <c r="H89" s="4"/>
      <c r="I89" s="4"/>
      <c r="J89" s="4"/>
      <c r="K89" s="2">
        <f t="shared" si="3"/>
        <v>2</v>
      </c>
      <c r="L89" s="3" t="s">
        <v>254</v>
      </c>
      <c r="M89" s="3"/>
      <c r="N89" s="3"/>
      <c r="O89" s="3"/>
      <c r="P89" s="3"/>
      <c r="Q89" s="3">
        <v>4</v>
      </c>
      <c r="R89" s="3">
        <v>2</v>
      </c>
      <c r="S89" s="3"/>
      <c r="T89" s="3"/>
      <c r="U89" s="2">
        <f t="shared" si="4"/>
        <v>6</v>
      </c>
      <c r="V89" s="3" t="s">
        <v>361</v>
      </c>
      <c r="W89" s="13">
        <f t="shared" si="5"/>
        <v>2</v>
      </c>
      <c r="X89" s="13" cm="1">
        <f t="array" ref="X89">levdist(B89,V89)</f>
        <v>37</v>
      </c>
    </row>
    <row r="90" spans="1:24" ht="75.75" thickBot="1" x14ac:dyDescent="0.3">
      <c r="A90" s="3" t="s">
        <v>135</v>
      </c>
      <c r="B90" s="4" t="s">
        <v>136</v>
      </c>
      <c r="C90" s="4"/>
      <c r="D90" s="4"/>
      <c r="E90" s="4">
        <v>2</v>
      </c>
      <c r="F90" s="4">
        <v>2</v>
      </c>
      <c r="G90" s="4"/>
      <c r="H90" s="4"/>
      <c r="I90" s="4"/>
      <c r="J90" s="4"/>
      <c r="K90" s="2">
        <f t="shared" si="3"/>
        <v>4</v>
      </c>
      <c r="L90" s="3" t="s">
        <v>255</v>
      </c>
      <c r="M90" s="3"/>
      <c r="N90" s="3"/>
      <c r="O90" s="3">
        <v>2</v>
      </c>
      <c r="P90" s="3">
        <v>2</v>
      </c>
      <c r="Q90" s="3"/>
      <c r="R90" s="3"/>
      <c r="S90" s="3"/>
      <c r="T90" s="3"/>
      <c r="U90" s="2">
        <f t="shared" si="4"/>
        <v>4</v>
      </c>
      <c r="V90" s="3" t="s">
        <v>362</v>
      </c>
      <c r="W90" s="13">
        <f t="shared" si="5"/>
        <v>4</v>
      </c>
      <c r="X90" s="13" cm="1">
        <f t="array" ref="X90">levdist(B90,V90)</f>
        <v>107</v>
      </c>
    </row>
    <row r="91" spans="1:24" ht="60.75" thickBot="1" x14ac:dyDescent="0.3">
      <c r="A91" s="3" t="s">
        <v>450</v>
      </c>
      <c r="B91" s="4" t="s">
        <v>137</v>
      </c>
      <c r="C91" s="4"/>
      <c r="D91" s="4"/>
      <c r="E91" s="4"/>
      <c r="F91" s="4"/>
      <c r="G91" s="4">
        <v>4</v>
      </c>
      <c r="H91" s="4"/>
      <c r="I91" s="4"/>
      <c r="J91" s="4"/>
      <c r="K91" s="2">
        <f t="shared" si="3"/>
        <v>4</v>
      </c>
      <c r="L91" s="3" t="s">
        <v>256</v>
      </c>
      <c r="M91" s="3"/>
      <c r="N91" s="3"/>
      <c r="O91" s="3"/>
      <c r="P91" s="3">
        <v>2</v>
      </c>
      <c r="Q91" s="3"/>
      <c r="R91" s="3"/>
      <c r="S91" s="3"/>
      <c r="T91" s="3"/>
      <c r="U91" s="2">
        <f t="shared" si="4"/>
        <v>2</v>
      </c>
      <c r="V91" s="3" t="s">
        <v>363</v>
      </c>
      <c r="W91" s="13">
        <f t="shared" si="5"/>
        <v>4</v>
      </c>
      <c r="X91" s="13" cm="1">
        <f t="array" ref="X91">levdist(B91,V91)</f>
        <v>88</v>
      </c>
    </row>
    <row r="92" spans="1:24" ht="60.75" thickBot="1" x14ac:dyDescent="0.3">
      <c r="A92" s="3" t="s">
        <v>451</v>
      </c>
      <c r="B92" s="4" t="s">
        <v>138</v>
      </c>
      <c r="C92" s="4"/>
      <c r="D92" s="4"/>
      <c r="E92" s="4"/>
      <c r="F92" s="4">
        <v>2</v>
      </c>
      <c r="G92" s="4">
        <v>2</v>
      </c>
      <c r="H92" s="4"/>
      <c r="I92" s="4"/>
      <c r="J92" s="4"/>
      <c r="K92" s="2">
        <f t="shared" si="3"/>
        <v>4</v>
      </c>
      <c r="L92" s="3" t="s">
        <v>257</v>
      </c>
      <c r="M92" s="3"/>
      <c r="N92" s="3"/>
      <c r="O92" s="3"/>
      <c r="P92" s="3">
        <v>2</v>
      </c>
      <c r="Q92" s="3"/>
      <c r="R92" s="3"/>
      <c r="S92" s="3"/>
      <c r="T92" s="3"/>
      <c r="U92" s="2">
        <f t="shared" si="4"/>
        <v>2</v>
      </c>
      <c r="V92" s="3" t="s">
        <v>364</v>
      </c>
      <c r="W92" s="13">
        <f t="shared" si="5"/>
        <v>4</v>
      </c>
      <c r="X92" s="13" cm="1">
        <f t="array" ref="X92">levdist(B92,V92)</f>
        <v>27</v>
      </c>
    </row>
    <row r="93" spans="1:24" ht="45.75" thickBot="1" x14ac:dyDescent="0.3">
      <c r="A93" s="3" t="s">
        <v>139</v>
      </c>
      <c r="B93" s="4" t="s">
        <v>140</v>
      </c>
      <c r="C93" s="4"/>
      <c r="D93" s="4"/>
      <c r="E93" s="4"/>
      <c r="F93" s="4">
        <v>4</v>
      </c>
      <c r="G93" s="4"/>
      <c r="H93" s="4"/>
      <c r="I93" s="4"/>
      <c r="J93" s="4"/>
      <c r="K93" s="2">
        <f t="shared" si="3"/>
        <v>4</v>
      </c>
      <c r="L93" s="3" t="s">
        <v>258</v>
      </c>
      <c r="M93" s="3"/>
      <c r="N93" s="3"/>
      <c r="O93" s="3"/>
      <c r="P93" s="3">
        <v>2</v>
      </c>
      <c r="Q93" s="3">
        <v>2</v>
      </c>
      <c r="R93" s="3"/>
      <c r="S93" s="3"/>
      <c r="T93" s="3"/>
      <c r="U93" s="2">
        <f t="shared" si="4"/>
        <v>4</v>
      </c>
      <c r="V93" s="3" t="s">
        <v>365</v>
      </c>
      <c r="W93" s="13">
        <f t="shared" si="5"/>
        <v>4</v>
      </c>
      <c r="X93" s="13" cm="1">
        <f t="array" ref="X93">levdist(B93,V93)</f>
        <v>85</v>
      </c>
    </row>
    <row r="94" spans="1:24" ht="75.75" thickBot="1" x14ac:dyDescent="0.3">
      <c r="A94" s="3" t="s">
        <v>141</v>
      </c>
      <c r="B94" s="4" t="s">
        <v>142</v>
      </c>
      <c r="C94" s="4"/>
      <c r="D94" s="4"/>
      <c r="E94" s="4"/>
      <c r="F94" s="4">
        <v>2</v>
      </c>
      <c r="G94" s="4"/>
      <c r="H94" s="4"/>
      <c r="I94" s="4"/>
      <c r="J94" s="4"/>
      <c r="K94" s="2">
        <f t="shared" si="3"/>
        <v>2</v>
      </c>
      <c r="L94" s="3" t="s">
        <v>259</v>
      </c>
      <c r="M94" s="3"/>
      <c r="N94" s="3"/>
      <c r="O94" s="3"/>
      <c r="P94" s="3">
        <v>2</v>
      </c>
      <c r="Q94" s="3"/>
      <c r="R94" s="3"/>
      <c r="S94" s="3"/>
      <c r="T94" s="3"/>
      <c r="U94" s="2">
        <f t="shared" si="4"/>
        <v>2</v>
      </c>
      <c r="V94" s="3" t="s">
        <v>366</v>
      </c>
      <c r="W94" s="13">
        <f t="shared" si="5"/>
        <v>2</v>
      </c>
      <c r="X94" s="13" cm="1">
        <f t="array" ref="X94">levdist(B94,V94)</f>
        <v>90</v>
      </c>
    </row>
    <row r="95" spans="1:24" ht="60.75" thickBot="1" x14ac:dyDescent="0.3">
      <c r="A95" s="3" t="s">
        <v>143</v>
      </c>
      <c r="B95" s="4" t="s">
        <v>144</v>
      </c>
      <c r="C95" s="4">
        <v>1</v>
      </c>
      <c r="D95" s="4"/>
      <c r="E95" s="4"/>
      <c r="F95" s="4"/>
      <c r="G95" s="4"/>
      <c r="H95" s="4"/>
      <c r="I95" s="4"/>
      <c r="J95" s="4"/>
      <c r="K95" s="2">
        <f t="shared" si="3"/>
        <v>0</v>
      </c>
      <c r="L95" s="3" t="s">
        <v>260</v>
      </c>
      <c r="M95" s="3">
        <v>1</v>
      </c>
      <c r="N95" s="3"/>
      <c r="O95" s="3"/>
      <c r="P95" s="3"/>
      <c r="Q95" s="3"/>
      <c r="R95" s="3"/>
      <c r="S95" s="3"/>
      <c r="T95" s="3"/>
      <c r="U95" s="2">
        <f t="shared" si="4"/>
        <v>0</v>
      </c>
      <c r="V95" s="3" t="s">
        <v>367</v>
      </c>
      <c r="W95" s="13">
        <f t="shared" si="5"/>
        <v>0</v>
      </c>
      <c r="X95" s="13" cm="1">
        <f t="array" ref="X95">levdist(B95,V95)</f>
        <v>82</v>
      </c>
    </row>
    <row r="96" spans="1:24" ht="60.75" thickBot="1" x14ac:dyDescent="0.3">
      <c r="A96" s="3" t="s">
        <v>452</v>
      </c>
      <c r="B96" s="4" t="s">
        <v>145</v>
      </c>
      <c r="C96" s="4"/>
      <c r="D96" s="4"/>
      <c r="E96" s="4">
        <v>4</v>
      </c>
      <c r="F96" s="4">
        <v>2</v>
      </c>
      <c r="G96" s="4">
        <v>2</v>
      </c>
      <c r="H96" s="4"/>
      <c r="I96" s="4"/>
      <c r="J96" s="4"/>
      <c r="K96" s="2">
        <f t="shared" si="3"/>
        <v>8</v>
      </c>
      <c r="L96" s="3" t="s">
        <v>261</v>
      </c>
      <c r="M96" s="3"/>
      <c r="N96" s="3"/>
      <c r="O96" s="3">
        <v>4</v>
      </c>
      <c r="P96" s="3"/>
      <c r="Q96" s="3">
        <v>2</v>
      </c>
      <c r="R96" s="3"/>
      <c r="S96" s="3"/>
      <c r="T96" s="3"/>
      <c r="U96" s="2">
        <f t="shared" si="4"/>
        <v>6</v>
      </c>
      <c r="V96" s="3" t="s">
        <v>368</v>
      </c>
      <c r="W96" s="13">
        <f t="shared" si="5"/>
        <v>8</v>
      </c>
      <c r="X96" s="13" cm="1">
        <f t="array" ref="X96">levdist(B96,V96)</f>
        <v>103</v>
      </c>
    </row>
    <row r="97" spans="1:24" ht="60.75" thickBot="1" x14ac:dyDescent="0.3">
      <c r="A97" s="3" t="s">
        <v>146</v>
      </c>
      <c r="B97" s="4" t="s">
        <v>147</v>
      </c>
      <c r="C97" s="4"/>
      <c r="D97" s="4"/>
      <c r="E97" s="4"/>
      <c r="F97" s="4">
        <v>2</v>
      </c>
      <c r="G97" s="4"/>
      <c r="H97" s="4"/>
      <c r="I97" s="4"/>
      <c r="J97" s="4"/>
      <c r="K97" s="2">
        <f t="shared" si="3"/>
        <v>2</v>
      </c>
      <c r="L97" s="3" t="s">
        <v>262</v>
      </c>
      <c r="M97" s="3"/>
      <c r="N97" s="3"/>
      <c r="O97" s="3">
        <v>4</v>
      </c>
      <c r="P97" s="3"/>
      <c r="Q97" s="3"/>
      <c r="R97" s="3">
        <v>4</v>
      </c>
      <c r="S97" s="3"/>
      <c r="T97" s="3"/>
      <c r="U97" s="2">
        <f t="shared" si="4"/>
        <v>8</v>
      </c>
      <c r="V97" s="3" t="s">
        <v>369</v>
      </c>
      <c r="W97" s="13">
        <f t="shared" si="5"/>
        <v>2</v>
      </c>
      <c r="X97" s="13" cm="1">
        <f t="array" ref="X97">levdist(B97,V97)</f>
        <v>59</v>
      </c>
    </row>
    <row r="98" spans="1:24" ht="75.75" thickBot="1" x14ac:dyDescent="0.3">
      <c r="A98" s="3" t="s">
        <v>148</v>
      </c>
      <c r="B98" s="4" t="s">
        <v>149</v>
      </c>
      <c r="C98" s="4"/>
      <c r="D98" s="4"/>
      <c r="E98" s="4">
        <v>4</v>
      </c>
      <c r="F98" s="4"/>
      <c r="G98" s="4"/>
      <c r="H98" s="4"/>
      <c r="I98" s="4"/>
      <c r="J98" s="4"/>
      <c r="K98" s="2">
        <f t="shared" si="3"/>
        <v>4</v>
      </c>
      <c r="L98" s="3" t="s">
        <v>263</v>
      </c>
      <c r="M98" s="3"/>
      <c r="N98" s="3"/>
      <c r="O98" s="3"/>
      <c r="P98" s="3"/>
      <c r="Q98" s="3">
        <v>4</v>
      </c>
      <c r="R98" s="3"/>
      <c r="S98" s="3"/>
      <c r="T98" s="3"/>
      <c r="U98" s="2">
        <f t="shared" si="4"/>
        <v>4</v>
      </c>
      <c r="V98" s="3" t="s">
        <v>370</v>
      </c>
      <c r="W98" s="13">
        <f t="shared" si="5"/>
        <v>4</v>
      </c>
      <c r="X98" s="13" cm="1">
        <f t="array" ref="X98">levdist(B98,V98)</f>
        <v>76</v>
      </c>
    </row>
    <row r="99" spans="1:24" ht="135.75" thickBot="1" x14ac:dyDescent="0.3">
      <c r="A99" s="3" t="s">
        <v>453</v>
      </c>
      <c r="B99" s="4" t="s">
        <v>150</v>
      </c>
      <c r="C99" s="4"/>
      <c r="D99" s="4"/>
      <c r="E99" s="4"/>
      <c r="F99" s="4"/>
      <c r="G99" s="4">
        <v>8</v>
      </c>
      <c r="H99" s="4"/>
      <c r="I99" s="4"/>
      <c r="J99" s="4"/>
      <c r="K99" s="2">
        <f t="shared" si="3"/>
        <v>8</v>
      </c>
      <c r="L99" s="3" t="s">
        <v>264</v>
      </c>
      <c r="M99" s="3"/>
      <c r="N99" s="3"/>
      <c r="O99" s="3"/>
      <c r="P99" s="3"/>
      <c r="Q99" s="3">
        <v>8</v>
      </c>
      <c r="R99" s="3"/>
      <c r="S99" s="3"/>
      <c r="T99" s="3"/>
      <c r="U99" s="2">
        <f t="shared" si="4"/>
        <v>8</v>
      </c>
      <c r="V99" s="3" t="s">
        <v>371</v>
      </c>
      <c r="W99" s="13">
        <f t="shared" si="5"/>
        <v>8</v>
      </c>
      <c r="X99" s="13" cm="1">
        <f t="array" ref="X99">levdist(B99,V99)</f>
        <v>160</v>
      </c>
    </row>
    <row r="100" spans="1:24" ht="30.75" thickBot="1" x14ac:dyDescent="0.3">
      <c r="A100" s="3" t="s">
        <v>454</v>
      </c>
      <c r="B100" s="4" t="s">
        <v>151</v>
      </c>
      <c r="C100" s="4"/>
      <c r="D100" s="4"/>
      <c r="E100" s="4"/>
      <c r="F100" s="4"/>
      <c r="G100" s="4">
        <v>8</v>
      </c>
      <c r="H100" s="4"/>
      <c r="I100" s="4"/>
      <c r="J100" s="4"/>
      <c r="K100" s="2">
        <f t="shared" si="3"/>
        <v>8</v>
      </c>
      <c r="L100" s="3" t="s">
        <v>265</v>
      </c>
      <c r="M100" s="3"/>
      <c r="N100" s="3"/>
      <c r="O100" s="3"/>
      <c r="P100" s="3">
        <v>4</v>
      </c>
      <c r="Q100" s="3"/>
      <c r="R100" s="3"/>
      <c r="S100" s="3">
        <v>2</v>
      </c>
      <c r="T100" s="3"/>
      <c r="U100" s="2">
        <f t="shared" si="4"/>
        <v>6</v>
      </c>
      <c r="V100" s="3" t="s">
        <v>372</v>
      </c>
      <c r="W100" s="13">
        <f t="shared" si="5"/>
        <v>8</v>
      </c>
      <c r="X100" s="13" cm="1">
        <f t="array" ref="X100">levdist(B100,V100)</f>
        <v>39</v>
      </c>
    </row>
    <row r="101" spans="1:24" ht="45.75" thickBot="1" x14ac:dyDescent="0.3">
      <c r="A101" s="3" t="s">
        <v>152</v>
      </c>
      <c r="B101" s="4" t="s">
        <v>153</v>
      </c>
      <c r="C101" s="4"/>
      <c r="D101" s="4"/>
      <c r="E101" s="4">
        <v>4</v>
      </c>
      <c r="F101" s="4"/>
      <c r="G101" s="4"/>
      <c r="H101" s="4"/>
      <c r="I101" s="4">
        <v>2</v>
      </c>
      <c r="J101" s="4"/>
      <c r="K101" s="2">
        <f t="shared" si="3"/>
        <v>6</v>
      </c>
      <c r="L101" s="3" t="s">
        <v>266</v>
      </c>
      <c r="M101" s="3"/>
      <c r="N101" s="3"/>
      <c r="O101" s="3">
        <v>4</v>
      </c>
      <c r="P101" s="3"/>
      <c r="Q101" s="3"/>
      <c r="R101" s="3"/>
      <c r="S101" s="3">
        <v>2</v>
      </c>
      <c r="T101" s="3"/>
      <c r="U101" s="2">
        <f t="shared" si="4"/>
        <v>6</v>
      </c>
      <c r="V101" s="3" t="s">
        <v>373</v>
      </c>
      <c r="W101" s="13">
        <f t="shared" si="5"/>
        <v>6</v>
      </c>
      <c r="X101" s="13" cm="1">
        <f t="array" ref="X101">levdist(B101,V101)</f>
        <v>79</v>
      </c>
    </row>
    <row r="102" spans="1:24" ht="60.75" thickBot="1" x14ac:dyDescent="0.3">
      <c r="A102" s="3" t="s">
        <v>154</v>
      </c>
      <c r="B102" s="4" t="s">
        <v>155</v>
      </c>
      <c r="C102" s="4"/>
      <c r="D102" s="4"/>
      <c r="E102" s="4"/>
      <c r="F102" s="4">
        <v>2</v>
      </c>
      <c r="G102" s="4"/>
      <c r="H102" s="4"/>
      <c r="I102" s="4">
        <v>2</v>
      </c>
      <c r="J102" s="4"/>
      <c r="K102" s="2">
        <f t="shared" si="3"/>
        <v>4</v>
      </c>
      <c r="L102" s="3" t="s">
        <v>267</v>
      </c>
      <c r="M102" s="3"/>
      <c r="N102" s="3"/>
      <c r="O102" s="3"/>
      <c r="P102" s="3">
        <v>2</v>
      </c>
      <c r="Q102" s="3"/>
      <c r="R102" s="3"/>
      <c r="S102" s="3">
        <v>2</v>
      </c>
      <c r="T102" s="3"/>
      <c r="U102" s="2">
        <f t="shared" si="4"/>
        <v>4</v>
      </c>
      <c r="V102" s="3" t="s">
        <v>374</v>
      </c>
      <c r="W102" s="13">
        <f t="shared" si="5"/>
        <v>4</v>
      </c>
      <c r="X102" s="13" cm="1">
        <f t="array" ref="X102">levdist(B102,V102)</f>
        <v>86</v>
      </c>
    </row>
    <row r="103" spans="1:24" ht="75.75" thickBot="1" x14ac:dyDescent="0.3">
      <c r="A103" s="3" t="s">
        <v>455</v>
      </c>
      <c r="B103" s="4" t="s">
        <v>156</v>
      </c>
      <c r="C103" s="4"/>
      <c r="D103" s="4"/>
      <c r="E103" s="4"/>
      <c r="F103" s="4"/>
      <c r="G103" s="4">
        <v>8</v>
      </c>
      <c r="H103" s="4"/>
      <c r="I103" s="4"/>
      <c r="J103" s="4"/>
      <c r="K103" s="2">
        <f t="shared" si="3"/>
        <v>8</v>
      </c>
      <c r="L103" s="3" t="s">
        <v>268</v>
      </c>
      <c r="M103" s="3"/>
      <c r="N103" s="3"/>
      <c r="O103" s="3"/>
      <c r="P103" s="3"/>
      <c r="Q103" s="3">
        <v>4</v>
      </c>
      <c r="R103" s="3"/>
      <c r="S103" s="3"/>
      <c r="T103" s="3"/>
      <c r="U103" s="2">
        <f t="shared" si="4"/>
        <v>4</v>
      </c>
      <c r="V103" s="3" t="s">
        <v>375</v>
      </c>
      <c r="W103" s="13">
        <f t="shared" si="5"/>
        <v>8</v>
      </c>
      <c r="X103" s="13" cm="1">
        <f t="array" ref="X103">levdist(B103,V103)</f>
        <v>110</v>
      </c>
    </row>
    <row r="104" spans="1:24" ht="90.75" thickBot="1" x14ac:dyDescent="0.3">
      <c r="A104" s="3" t="s">
        <v>157</v>
      </c>
      <c r="B104" s="4" t="s">
        <v>158</v>
      </c>
      <c r="C104" s="4"/>
      <c r="D104" s="4"/>
      <c r="E104" s="4">
        <v>4</v>
      </c>
      <c r="F104" s="4">
        <v>4</v>
      </c>
      <c r="G104" s="4"/>
      <c r="H104" s="4"/>
      <c r="I104" s="4"/>
      <c r="J104" s="4"/>
      <c r="K104" s="2">
        <f t="shared" si="3"/>
        <v>8</v>
      </c>
      <c r="L104" s="3" t="s">
        <v>269</v>
      </c>
      <c r="M104" s="3"/>
      <c r="N104" s="3"/>
      <c r="O104" s="3">
        <v>4</v>
      </c>
      <c r="P104" s="3">
        <v>4</v>
      </c>
      <c r="Q104" s="3"/>
      <c r="R104" s="3"/>
      <c r="S104" s="3"/>
      <c r="T104" s="3"/>
      <c r="U104" s="2">
        <f t="shared" si="4"/>
        <v>8</v>
      </c>
      <c r="V104" s="3" t="s">
        <v>376</v>
      </c>
      <c r="W104" s="13">
        <f t="shared" si="5"/>
        <v>8</v>
      </c>
      <c r="X104" s="13" cm="1">
        <f t="array" ref="X104">levdist(B104,V104)</f>
        <v>97</v>
      </c>
    </row>
    <row r="105" spans="1:24" ht="120.75" thickBot="1" x14ac:dyDescent="0.3">
      <c r="A105" s="3" t="s">
        <v>456</v>
      </c>
      <c r="B105" s="4" t="s">
        <v>159</v>
      </c>
      <c r="C105" s="4"/>
      <c r="D105" s="4"/>
      <c r="E105" s="4"/>
      <c r="F105" s="4">
        <v>2</v>
      </c>
      <c r="G105" s="4">
        <v>4</v>
      </c>
      <c r="H105" s="4"/>
      <c r="I105" s="4">
        <v>2</v>
      </c>
      <c r="J105" s="4"/>
      <c r="K105" s="2">
        <f t="shared" si="3"/>
        <v>8</v>
      </c>
      <c r="L105" s="3" t="s">
        <v>270</v>
      </c>
      <c r="M105" s="3"/>
      <c r="N105" s="3"/>
      <c r="O105" s="3"/>
      <c r="P105" s="3">
        <v>4</v>
      </c>
      <c r="Q105" s="3">
        <v>2</v>
      </c>
      <c r="R105" s="3"/>
      <c r="S105" s="3">
        <v>2</v>
      </c>
      <c r="T105" s="3"/>
      <c r="U105" s="2">
        <f t="shared" si="4"/>
        <v>8</v>
      </c>
      <c r="V105" s="3" t="s">
        <v>377</v>
      </c>
      <c r="W105" s="13">
        <f t="shared" si="5"/>
        <v>8</v>
      </c>
      <c r="X105" s="13" cm="1">
        <f t="array" ref="X105">levdist(B105,V105)</f>
        <v>96</v>
      </c>
    </row>
    <row r="106" spans="1:24" ht="75.75" thickBot="1" x14ac:dyDescent="0.3">
      <c r="A106" s="3" t="s">
        <v>457</v>
      </c>
      <c r="B106" s="4" t="s">
        <v>160</v>
      </c>
      <c r="C106" s="4"/>
      <c r="D106" s="4"/>
      <c r="E106" s="4"/>
      <c r="F106" s="4">
        <v>2</v>
      </c>
      <c r="G106" s="4">
        <v>2</v>
      </c>
      <c r="H106" s="4"/>
      <c r="I106" s="4"/>
      <c r="J106" s="4"/>
      <c r="K106" s="2">
        <f t="shared" si="3"/>
        <v>4</v>
      </c>
      <c r="L106" s="3" t="s">
        <v>271</v>
      </c>
      <c r="M106" s="3"/>
      <c r="N106" s="3"/>
      <c r="O106" s="3"/>
      <c r="P106" s="3">
        <v>4</v>
      </c>
      <c r="Q106" s="3">
        <v>4</v>
      </c>
      <c r="R106" s="3"/>
      <c r="S106" s="3"/>
      <c r="T106" s="3"/>
      <c r="U106" s="2">
        <f t="shared" si="4"/>
        <v>8</v>
      </c>
      <c r="V106" s="3" t="s">
        <v>378</v>
      </c>
      <c r="W106" s="13">
        <f t="shared" si="5"/>
        <v>4</v>
      </c>
      <c r="X106" s="13" cm="1">
        <f t="array" ref="X106">levdist(B106,V106)</f>
        <v>104</v>
      </c>
    </row>
    <row r="107" spans="1:24" ht="75.75" thickBot="1" x14ac:dyDescent="0.3">
      <c r="A107" s="3" t="s">
        <v>161</v>
      </c>
      <c r="B107" s="4" t="s">
        <v>162</v>
      </c>
      <c r="C107" s="4"/>
      <c r="D107" s="4"/>
      <c r="E107" s="4">
        <v>4</v>
      </c>
      <c r="F107" s="4"/>
      <c r="G107" s="4"/>
      <c r="H107" s="4">
        <v>4</v>
      </c>
      <c r="I107" s="4"/>
      <c r="J107" s="4"/>
      <c r="K107" s="2">
        <f t="shared" si="3"/>
        <v>8</v>
      </c>
      <c r="L107" s="3" t="s">
        <v>272</v>
      </c>
      <c r="M107" s="3"/>
      <c r="N107" s="3"/>
      <c r="O107" s="3">
        <v>4</v>
      </c>
      <c r="P107" s="3"/>
      <c r="Q107" s="3">
        <v>8</v>
      </c>
      <c r="R107" s="3"/>
      <c r="S107" s="3"/>
      <c r="T107" s="3"/>
      <c r="U107" s="2">
        <f t="shared" si="4"/>
        <v>12</v>
      </c>
      <c r="V107" s="3" t="s">
        <v>379</v>
      </c>
      <c r="W107" s="13">
        <f t="shared" si="5"/>
        <v>8</v>
      </c>
      <c r="X107" s="13" cm="1">
        <f t="array" ref="X107">levdist(B107,V107)</f>
        <v>142</v>
      </c>
    </row>
    <row r="108" spans="1:24" ht="60.75" thickBot="1" x14ac:dyDescent="0.3">
      <c r="A108" s="3" t="s">
        <v>458</v>
      </c>
      <c r="B108" s="4" t="s">
        <v>163</v>
      </c>
      <c r="C108" s="4"/>
      <c r="D108" s="4"/>
      <c r="E108" s="4"/>
      <c r="F108" s="4">
        <v>2</v>
      </c>
      <c r="G108" s="4">
        <v>8</v>
      </c>
      <c r="H108" s="4"/>
      <c r="I108" s="4"/>
      <c r="J108" s="4"/>
      <c r="K108" s="2">
        <f t="shared" si="3"/>
        <v>10</v>
      </c>
      <c r="L108" s="3" t="s">
        <v>273</v>
      </c>
      <c r="M108" s="3"/>
      <c r="N108" s="3"/>
      <c r="O108" s="3"/>
      <c r="P108" s="3">
        <v>2</v>
      </c>
      <c r="Q108" s="3">
        <v>8</v>
      </c>
      <c r="R108" s="3"/>
      <c r="S108" s="3"/>
      <c r="T108" s="3"/>
      <c r="U108" s="2">
        <f t="shared" si="4"/>
        <v>10</v>
      </c>
      <c r="V108" s="3" t="s">
        <v>380</v>
      </c>
      <c r="W108" s="13">
        <f t="shared" si="5"/>
        <v>10</v>
      </c>
      <c r="X108" s="13" cm="1">
        <f t="array" ref="X108">levdist(B108,V108)</f>
        <v>124</v>
      </c>
    </row>
    <row r="109" spans="1:24" ht="105.75" thickBot="1" x14ac:dyDescent="0.3">
      <c r="A109" s="3" t="s">
        <v>164</v>
      </c>
      <c r="B109" s="4" t="s">
        <v>165</v>
      </c>
      <c r="C109" s="4"/>
      <c r="D109" s="4"/>
      <c r="E109" s="4"/>
      <c r="F109" s="4">
        <v>4</v>
      </c>
      <c r="G109" s="4"/>
      <c r="H109" s="4"/>
      <c r="I109" s="4">
        <v>4</v>
      </c>
      <c r="J109" s="4"/>
      <c r="K109" s="2">
        <f t="shared" si="3"/>
        <v>8</v>
      </c>
      <c r="L109" s="3" t="s">
        <v>274</v>
      </c>
      <c r="M109" s="3"/>
      <c r="N109" s="3"/>
      <c r="O109" s="3">
        <v>4</v>
      </c>
      <c r="P109" s="3"/>
      <c r="Q109" s="3"/>
      <c r="R109" s="3"/>
      <c r="S109" s="3">
        <v>2</v>
      </c>
      <c r="T109" s="3"/>
      <c r="U109" s="2">
        <f t="shared" si="4"/>
        <v>6</v>
      </c>
      <c r="V109" s="3" t="s">
        <v>381</v>
      </c>
      <c r="W109" s="13">
        <f t="shared" si="5"/>
        <v>8</v>
      </c>
      <c r="X109" s="13" cm="1">
        <f t="array" ref="X109">levdist(B109,V109)</f>
        <v>177</v>
      </c>
    </row>
    <row r="110" spans="1:24" ht="60.75" thickBot="1" x14ac:dyDescent="0.3">
      <c r="A110" s="3" t="s">
        <v>166</v>
      </c>
      <c r="B110" s="4" t="s">
        <v>167</v>
      </c>
      <c r="C110" s="4"/>
      <c r="D110" s="4"/>
      <c r="E110" s="4"/>
      <c r="F110" s="4">
        <v>4</v>
      </c>
      <c r="G110" s="4"/>
      <c r="H110" s="4"/>
      <c r="I110" s="4"/>
      <c r="J110" s="4"/>
      <c r="K110" s="2">
        <f t="shared" si="3"/>
        <v>4</v>
      </c>
      <c r="L110" s="3" t="s">
        <v>275</v>
      </c>
      <c r="M110" s="3">
        <v>1</v>
      </c>
      <c r="N110" s="3"/>
      <c r="O110" s="3"/>
      <c r="P110" s="3"/>
      <c r="Q110" s="3"/>
      <c r="R110" s="3"/>
      <c r="S110" s="3"/>
      <c r="T110" s="3"/>
      <c r="U110" s="2">
        <f t="shared" si="4"/>
        <v>0</v>
      </c>
      <c r="V110" s="3" t="s">
        <v>382</v>
      </c>
      <c r="W110" s="13">
        <f t="shared" si="5"/>
        <v>4</v>
      </c>
      <c r="X110" s="13" cm="1">
        <f t="array" ref="X110">levdist(B110,V110)</f>
        <v>103</v>
      </c>
    </row>
    <row r="111" spans="1:24" ht="45.75" thickBot="1" x14ac:dyDescent="0.3">
      <c r="A111" s="3" t="s">
        <v>168</v>
      </c>
      <c r="B111" s="4" t="s">
        <v>169</v>
      </c>
      <c r="C111" s="4">
        <v>1</v>
      </c>
      <c r="D111" s="4"/>
      <c r="E111" s="4"/>
      <c r="F111" s="4"/>
      <c r="G111" s="4"/>
      <c r="H111" s="4"/>
      <c r="I111" s="4"/>
      <c r="J111" s="4"/>
      <c r="K111" s="2">
        <f t="shared" si="3"/>
        <v>0</v>
      </c>
      <c r="L111" s="3" t="s">
        <v>276</v>
      </c>
      <c r="M111" s="3">
        <v>1</v>
      </c>
      <c r="N111" s="3"/>
      <c r="O111" s="3"/>
      <c r="P111" s="3">
        <v>2</v>
      </c>
      <c r="Q111" s="3"/>
      <c r="R111" s="3"/>
      <c r="S111" s="3"/>
      <c r="T111" s="3"/>
      <c r="U111" s="2">
        <f t="shared" si="4"/>
        <v>2</v>
      </c>
      <c r="V111" s="3" t="s">
        <v>383</v>
      </c>
      <c r="W111" s="13">
        <f t="shared" si="5"/>
        <v>0</v>
      </c>
      <c r="X111" s="13" cm="1">
        <f t="array" ref="X111">levdist(B111,V111)</f>
        <v>62</v>
      </c>
    </row>
    <row r="112" spans="1:24" ht="75.75" thickBot="1" x14ac:dyDescent="0.3">
      <c r="A112" s="3" t="s">
        <v>170</v>
      </c>
      <c r="B112" s="4" t="s">
        <v>171</v>
      </c>
      <c r="C112" s="4">
        <v>1</v>
      </c>
      <c r="D112" s="4"/>
      <c r="E112" s="4">
        <v>2</v>
      </c>
      <c r="F112" s="4">
        <v>4</v>
      </c>
      <c r="G112" s="4"/>
      <c r="H112" s="4"/>
      <c r="I112" s="4"/>
      <c r="J112" s="4"/>
      <c r="K112" s="2">
        <f t="shared" si="3"/>
        <v>6</v>
      </c>
      <c r="L112" s="3" t="s">
        <v>277</v>
      </c>
      <c r="M112" s="3"/>
      <c r="N112" s="3"/>
      <c r="O112" s="3"/>
      <c r="P112" s="3">
        <v>4</v>
      </c>
      <c r="Q112" s="3"/>
      <c r="R112" s="3"/>
      <c r="S112" s="3"/>
      <c r="T112" s="3"/>
      <c r="U112" s="2">
        <f t="shared" si="4"/>
        <v>4</v>
      </c>
      <c r="V112" s="3" t="s">
        <v>384</v>
      </c>
      <c r="W112" s="13">
        <f t="shared" si="5"/>
        <v>6</v>
      </c>
      <c r="X112" s="13" cm="1">
        <f t="array" ref="X112">levdist(B112,V112)</f>
        <v>92</v>
      </c>
    </row>
    <row r="113" spans="1:24" x14ac:dyDescent="0.25">
      <c r="A113" s="6" t="s">
        <v>402</v>
      </c>
      <c r="C113">
        <f t="shared" ref="C113:K113" si="6">SUM(C2:C112)</f>
        <v>12</v>
      </c>
      <c r="D113">
        <f t="shared" si="6"/>
        <v>32</v>
      </c>
      <c r="E113">
        <f t="shared" si="6"/>
        <v>168</v>
      </c>
      <c r="F113">
        <f t="shared" si="6"/>
        <v>192</v>
      </c>
      <c r="G113">
        <f>SUM(G2:G112)</f>
        <v>235</v>
      </c>
      <c r="H113">
        <f t="shared" si="6"/>
        <v>80</v>
      </c>
      <c r="I113">
        <f t="shared" si="6"/>
        <v>20</v>
      </c>
      <c r="J113">
        <f t="shared" si="6"/>
        <v>8</v>
      </c>
      <c r="K113" s="8">
        <f t="shared" si="6"/>
        <v>735</v>
      </c>
      <c r="M113">
        <f t="shared" ref="M113:U113" si="7">SUM(M2:M112)</f>
        <v>12</v>
      </c>
      <c r="N113">
        <f t="shared" si="7"/>
        <v>22</v>
      </c>
      <c r="O113">
        <f t="shared" si="7"/>
        <v>164</v>
      </c>
      <c r="P113">
        <f t="shared" si="7"/>
        <v>205</v>
      </c>
      <c r="Q113">
        <f t="shared" si="7"/>
        <v>207</v>
      </c>
      <c r="R113">
        <f t="shared" si="7"/>
        <v>58</v>
      </c>
      <c r="S113">
        <f t="shared" si="7"/>
        <v>16</v>
      </c>
      <c r="T113">
        <f t="shared" si="7"/>
        <v>6</v>
      </c>
      <c r="U113" s="8">
        <f t="shared" si="7"/>
        <v>678</v>
      </c>
      <c r="X113" s="12">
        <f>PEARSON(K2:K112,X2:X112)</f>
        <v>0.39753925615991231</v>
      </c>
    </row>
    <row r="114" spans="1:24" x14ac:dyDescent="0.25">
      <c r="A114" s="6" t="s">
        <v>403</v>
      </c>
      <c r="B114" s="9" t="s">
        <v>408</v>
      </c>
      <c r="C114" s="7">
        <f>C113/111</f>
        <v>0.10810810810810811</v>
      </c>
      <c r="D114" s="7">
        <f t="shared" ref="D114:J114" si="8">D113/$K$113</f>
        <v>4.3537414965986392E-2</v>
      </c>
      <c r="E114" s="7">
        <f t="shared" si="8"/>
        <v>0.22857142857142856</v>
      </c>
      <c r="F114" s="7">
        <f t="shared" si="8"/>
        <v>0.26122448979591839</v>
      </c>
      <c r="G114" s="7">
        <f t="shared" si="8"/>
        <v>0.31972789115646261</v>
      </c>
      <c r="H114" s="7">
        <f t="shared" si="8"/>
        <v>0.10884353741496598</v>
      </c>
      <c r="I114" s="7">
        <f t="shared" si="8"/>
        <v>2.7210884353741496E-2</v>
      </c>
      <c r="J114" s="7">
        <f t="shared" si="8"/>
        <v>1.0884353741496598E-2</v>
      </c>
      <c r="K114" s="11">
        <f>K113/111</f>
        <v>6.6216216216216219</v>
      </c>
      <c r="M114" s="7">
        <f>M113/111</f>
        <v>0.10810810810810811</v>
      </c>
      <c r="N114" s="7">
        <f>N113/$U$113</f>
        <v>3.2448377581120944E-2</v>
      </c>
      <c r="O114" s="7">
        <f>O113/$U$113</f>
        <v>0.24188790560471976</v>
      </c>
      <c r="P114" s="7">
        <f>P113/$U$113</f>
        <v>0.30235988200589969</v>
      </c>
      <c r="Q114" s="7">
        <f>Q113/$U$113</f>
        <v>0.30530973451327431</v>
      </c>
      <c r="R114" s="7">
        <f>R113/$U$113</f>
        <v>8.5545722713864306E-2</v>
      </c>
      <c r="S114" s="7">
        <f>S113/$K$113</f>
        <v>2.1768707482993196E-2</v>
      </c>
      <c r="T114" s="7">
        <f>T113/$U$113</f>
        <v>8.8495575221238937E-3</v>
      </c>
      <c r="U114" s="11">
        <f>U113/111</f>
        <v>6.1081081081081079</v>
      </c>
    </row>
    <row r="115" spans="1:24" x14ac:dyDescent="0.25">
      <c r="A115" s="5" t="s">
        <v>405</v>
      </c>
      <c r="C115" s="8">
        <f>COUNTIF(K2:K112,"&lt;5")-C113</f>
        <v>35</v>
      </c>
      <c r="M115" s="8">
        <f>COUNTIF(U2:U112,"&lt;5")-M113</f>
        <v>45</v>
      </c>
    </row>
    <row r="116" spans="1:24" x14ac:dyDescent="0.25">
      <c r="A116" s="5" t="s">
        <v>406</v>
      </c>
      <c r="B116" s="9" t="s">
        <v>409</v>
      </c>
      <c r="C116" s="7">
        <f>C115/111</f>
        <v>0.31531531531531531</v>
      </c>
      <c r="M116" s="7">
        <f>M115/111</f>
        <v>0.40540540540540543</v>
      </c>
    </row>
    <row r="117" spans="1:24" x14ac:dyDescent="0.25">
      <c r="A117" s="5" t="s">
        <v>407</v>
      </c>
      <c r="C117" s="8">
        <f>COUNTIF(K2:K112,"&gt;4")</f>
        <v>64</v>
      </c>
      <c r="M117" s="8">
        <f>COUNTIF(U2:U112,"&gt;4")</f>
        <v>54</v>
      </c>
    </row>
    <row r="118" spans="1:24" x14ac:dyDescent="0.25">
      <c r="B118" t="s">
        <v>410</v>
      </c>
      <c r="C118" s="7">
        <f>C117/111</f>
        <v>0.57657657657657657</v>
      </c>
      <c r="M118" s="7">
        <f>M117/111</f>
        <v>0.48648648648648651</v>
      </c>
    </row>
  </sheetData>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scoring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Serge</dc:creator>
  <cp:lastModifiedBy>Serge</cp:lastModifiedBy>
  <dcterms:created xsi:type="dcterms:W3CDTF">2015-06-05T18:17:20Z</dcterms:created>
  <dcterms:modified xsi:type="dcterms:W3CDTF">2021-11-25T17:09:11Z</dcterms:modified>
</cp:coreProperties>
</file>